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5"/>
    <sheet state="visible" name="Semana 2" sheetId="2" r:id="rId6"/>
    <sheet state="visible" name="Semana 3" sheetId="3" r:id="rId7"/>
    <sheet state="visible" name="Semana 4" sheetId="4" r:id="rId8"/>
    <sheet state="visible" name="Copia de Semana 4" sheetId="5" r:id="rId9"/>
  </sheets>
  <definedNames/>
  <calcPr/>
</workbook>
</file>

<file path=xl/sharedStrings.xml><?xml version="1.0" encoding="utf-8"?>
<sst xmlns="http://schemas.openxmlformats.org/spreadsheetml/2006/main" count="487" uniqueCount="39">
  <si>
    <t>CALORIAS</t>
  </si>
  <si>
    <t>Desayuno</t>
  </si>
  <si>
    <t>Comida</t>
  </si>
  <si>
    <t>Cena</t>
  </si>
  <si>
    <t>Snacks</t>
  </si>
  <si>
    <t>Batido</t>
  </si>
  <si>
    <t>PROTEINAS</t>
  </si>
  <si>
    <t>Lunes</t>
  </si>
  <si>
    <t>Martes</t>
  </si>
  <si>
    <t>Miércoles</t>
  </si>
  <si>
    <t>Jueves</t>
  </si>
  <si>
    <t>Viernes</t>
  </si>
  <si>
    <t>Sábado</t>
  </si>
  <si>
    <t>Domingo</t>
  </si>
  <si>
    <t>GRASAS</t>
  </si>
  <si>
    <t>CARBOS</t>
  </si>
  <si>
    <t>PESO INIC</t>
  </si>
  <si>
    <t>MACROS</t>
  </si>
  <si>
    <t>HIDRATOS</t>
  </si>
  <si>
    <t>PESO FINAL</t>
  </si>
  <si>
    <t>Macro</t>
  </si>
  <si>
    <t>MIN. Diario</t>
  </si>
  <si>
    <t>MAX. Diario</t>
  </si>
  <si>
    <t>Subida de peso</t>
  </si>
  <si>
    <t>Grasas</t>
  </si>
  <si>
    <t>Proteinas</t>
  </si>
  <si>
    <t>Hidratos</t>
  </si>
  <si>
    <t>Sabado</t>
  </si>
  <si>
    <t>CONSUMIDAS</t>
  </si>
  <si>
    <t>GASTO</t>
  </si>
  <si>
    <t>METABOLISMO</t>
  </si>
  <si>
    <t>TOTAL DÍA</t>
  </si>
  <si>
    <t>SUPER</t>
  </si>
  <si>
    <t>Kcal Objetivo</t>
  </si>
  <si>
    <t>TMB</t>
  </si>
  <si>
    <t>TOTAL SUPER</t>
  </si>
  <si>
    <t>Merienda</t>
  </si>
  <si>
    <t>w</t>
  </si>
  <si>
    <t>Calorias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</si>
</sst>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4" fontId="3" numFmtId="0" xfId="0" applyAlignment="1" applyFill="1" applyFont="1">
      <alignment readingOrder="0" vertical="bottom"/>
    </xf>
    <xf borderId="0" fillId="5" fontId="3" numFmtId="0" xfId="0" applyAlignment="1" applyFill="1" applyFont="1">
      <alignment readingOrder="0" vertical="bottom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horizontal="right" readingOrder="0" vertical="bottom"/>
    </xf>
    <xf borderId="0" fillId="7" fontId="3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8" fontId="2" numFmtId="0" xfId="0" applyAlignment="1" applyFont="1">
      <alignment readingOrder="0" vertical="bottom"/>
    </xf>
    <xf borderId="0" fillId="6" fontId="3" numFmtId="0" xfId="0" applyAlignment="1" applyFont="1">
      <alignment readingOrder="0" vertical="bottom"/>
    </xf>
    <xf borderId="0" fillId="9" fontId="3" numFmtId="0" xfId="0" applyAlignment="1" applyFill="1" applyFont="1">
      <alignment horizontal="right" vertical="bottom"/>
    </xf>
    <xf borderId="0" fillId="10" fontId="3" numFmtId="0" xfId="0" applyAlignment="1" applyFill="1" applyFont="1">
      <alignment horizontal="right" vertical="bottom"/>
    </xf>
    <xf borderId="0" fillId="11" fontId="3" numFmtId="0" xfId="0" applyAlignment="1" applyFill="1" applyFont="1">
      <alignment horizontal="right" vertical="bottom"/>
    </xf>
    <xf borderId="0" fillId="8" fontId="1" numFmtId="0" xfId="0" applyAlignment="1" applyFont="1">
      <alignment readingOrder="0"/>
    </xf>
    <xf borderId="0" fillId="8" fontId="2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12" fontId="3" numFmtId="0" xfId="0" applyAlignment="1" applyFill="1" applyFont="1">
      <alignment horizontal="right" vertical="bottom"/>
    </xf>
    <xf borderId="0" fillId="12" fontId="3" numFmtId="0" xfId="0" applyAlignment="1" applyFont="1">
      <alignment horizontal="right" readingOrder="0" vertical="bottom"/>
    </xf>
    <xf borderId="0" fillId="12" fontId="3" numFmtId="0" xfId="0" applyAlignment="1" applyFont="1">
      <alignment horizontal="right" vertical="bottom"/>
    </xf>
    <xf borderId="0" fillId="13" fontId="3" numFmtId="0" xfId="0" applyAlignment="1" applyFill="1" applyFont="1">
      <alignment horizontal="right" vertical="bottom"/>
    </xf>
    <xf borderId="0" fillId="11" fontId="3" numFmtId="0" xfId="0" applyAlignment="1" applyFont="1">
      <alignment horizontal="right" readingOrder="0" vertical="bottom"/>
    </xf>
    <xf borderId="0" fillId="11" fontId="3" numFmtId="0" xfId="0" applyAlignment="1" applyFont="1">
      <alignment readingOrder="0" vertical="bottom"/>
    </xf>
    <xf borderId="0" fillId="12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7" fontId="4" numFmtId="0" xfId="0" applyAlignment="1" applyFont="1">
      <alignment readingOrder="0"/>
    </xf>
    <xf borderId="0" fillId="9" fontId="3" numFmtId="0" xfId="0" applyAlignment="1" applyFont="1">
      <alignment horizontal="right" vertical="bottom"/>
    </xf>
    <xf borderId="0" fillId="7" fontId="4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09FF00"/>
          <bgColor rgb="FF09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</dxfs>
  <tableStyles count="40">
    <tableStyle count="3" pivot="0" name="Semana 1-style">
      <tableStyleElement dxfId="1" type="headerRow"/>
      <tableStyleElement dxfId="2" type="firstRowStripe"/>
      <tableStyleElement dxfId="3" type="secondRowStripe"/>
    </tableStyle>
    <tableStyle count="3" pivot="0" name="Semana 1-style 2">
      <tableStyleElement dxfId="1" type="headerRow"/>
      <tableStyleElement dxfId="2" type="firstRowStripe"/>
      <tableStyleElement dxfId="3" type="secondRowStripe"/>
    </tableStyle>
    <tableStyle count="3" pivot="0" name="Semana 1-style 3">
      <tableStyleElement dxfId="1" type="headerRow"/>
      <tableStyleElement dxfId="2" type="firstRowStripe"/>
      <tableStyleElement dxfId="3" type="secondRowStripe"/>
    </tableStyle>
    <tableStyle count="3" pivot="0" name="Semana 1-style 4">
      <tableStyleElement dxfId="1" type="headerRow"/>
      <tableStyleElement dxfId="2" type="firstRowStripe"/>
      <tableStyleElement dxfId="3" type="secondRowStripe"/>
    </tableStyle>
    <tableStyle count="3" pivot="0" name="Semana 1-style 5">
      <tableStyleElement dxfId="1" type="headerRow"/>
      <tableStyleElement dxfId="2" type="firstRowStripe"/>
      <tableStyleElement dxfId="3" type="secondRowStripe"/>
    </tableStyle>
    <tableStyle count="3" pivot="0" name="Semana 1-style 6">
      <tableStyleElement dxfId="1" type="headerRow"/>
      <tableStyleElement dxfId="2" type="firstRowStripe"/>
      <tableStyleElement dxfId="3" type="secondRowStripe"/>
    </tableStyle>
    <tableStyle count="3" pivot="0" name="Semana 1-style 7">
      <tableStyleElement dxfId="1" type="headerRow"/>
      <tableStyleElement dxfId="2" type="firstRowStripe"/>
      <tableStyleElement dxfId="3" type="secondRowStripe"/>
    </tableStyle>
    <tableStyle count="2" pivot="0" name="Semana 1-style 8">
      <tableStyleElement dxfId="3" type="firstRowStripe"/>
      <tableStyleElement dxfId="2" type="secondRowStripe"/>
    </tableStyle>
    <tableStyle count="3" pivot="0" name="Semana 2-style">
      <tableStyleElement dxfId="1" type="headerRow"/>
      <tableStyleElement dxfId="2" type="firstRowStripe"/>
      <tableStyleElement dxfId="3" type="secondRowStripe"/>
    </tableStyle>
    <tableStyle count="3" pivot="0" name="Semana 2-style 2">
      <tableStyleElement dxfId="1" type="headerRow"/>
      <tableStyleElement dxfId="2" type="firstRowStripe"/>
      <tableStyleElement dxfId="3" type="secondRowStripe"/>
    </tableStyle>
    <tableStyle count="3" pivot="0" name="Semana 2-style 3">
      <tableStyleElement dxfId="1" type="headerRow"/>
      <tableStyleElement dxfId="2" type="firstRowStripe"/>
      <tableStyleElement dxfId="3" type="secondRowStripe"/>
    </tableStyle>
    <tableStyle count="3" pivot="0" name="Semana 2-style 4">
      <tableStyleElement dxfId="1" type="headerRow"/>
      <tableStyleElement dxfId="2" type="firstRowStripe"/>
      <tableStyleElement dxfId="3" type="secondRowStripe"/>
    </tableStyle>
    <tableStyle count="3" pivot="0" name="Semana 2-style 5">
      <tableStyleElement dxfId="1" type="headerRow"/>
      <tableStyleElement dxfId="2" type="firstRowStripe"/>
      <tableStyleElement dxfId="3" type="secondRowStripe"/>
    </tableStyle>
    <tableStyle count="3" pivot="0" name="Semana 2-style 6">
      <tableStyleElement dxfId="1" type="headerRow"/>
      <tableStyleElement dxfId="2" type="firstRowStripe"/>
      <tableStyleElement dxfId="3" type="secondRowStripe"/>
    </tableStyle>
    <tableStyle count="3" pivot="0" name="Semana 2-style 7">
      <tableStyleElement dxfId="1" type="headerRow"/>
      <tableStyleElement dxfId="2" type="firstRowStripe"/>
      <tableStyleElement dxfId="3" type="secondRowStripe"/>
    </tableStyle>
    <tableStyle count="2" pivot="0" name="Semana 2-style 8">
      <tableStyleElement dxfId="3" type="firstRowStripe"/>
      <tableStyleElement dxfId="2" type="secondRowStripe"/>
    </tableStyle>
    <tableStyle count="3" pivot="0" name="Semana 3-style">
      <tableStyleElement dxfId="1" type="headerRow"/>
      <tableStyleElement dxfId="2" type="firstRowStripe"/>
      <tableStyleElement dxfId="3" type="secondRowStripe"/>
    </tableStyle>
    <tableStyle count="3" pivot="0" name="Semana 3-style 2">
      <tableStyleElement dxfId="1" type="headerRow"/>
      <tableStyleElement dxfId="2" type="firstRowStripe"/>
      <tableStyleElement dxfId="3" type="secondRowStripe"/>
    </tableStyle>
    <tableStyle count="3" pivot="0" name="Semana 3-style 3">
      <tableStyleElement dxfId="1" type="headerRow"/>
      <tableStyleElement dxfId="2" type="firstRowStripe"/>
      <tableStyleElement dxfId="3" type="secondRowStripe"/>
    </tableStyle>
    <tableStyle count="3" pivot="0" name="Semana 3-style 4">
      <tableStyleElement dxfId="1" type="headerRow"/>
      <tableStyleElement dxfId="2" type="firstRowStripe"/>
      <tableStyleElement dxfId="3" type="secondRowStripe"/>
    </tableStyle>
    <tableStyle count="3" pivot="0" name="Semana 3-style 5">
      <tableStyleElement dxfId="1" type="headerRow"/>
      <tableStyleElement dxfId="2" type="firstRowStripe"/>
      <tableStyleElement dxfId="3" type="secondRowStripe"/>
    </tableStyle>
    <tableStyle count="3" pivot="0" name="Semana 3-style 6">
      <tableStyleElement dxfId="1" type="headerRow"/>
      <tableStyleElement dxfId="2" type="firstRowStripe"/>
      <tableStyleElement dxfId="3" type="secondRowStripe"/>
    </tableStyle>
    <tableStyle count="3" pivot="0" name="Semana 3-style 7">
      <tableStyleElement dxfId="1" type="headerRow"/>
      <tableStyleElement dxfId="2" type="firstRowStripe"/>
      <tableStyleElement dxfId="3" type="secondRowStripe"/>
    </tableStyle>
    <tableStyle count="2" pivot="0" name="Semana 3-style 8">
      <tableStyleElement dxfId="3" type="firstRowStripe"/>
      <tableStyleElement dxfId="2" type="secondRowStripe"/>
    </tableStyle>
    <tableStyle count="3" pivot="0" name="Semana 4-style">
      <tableStyleElement dxfId="1" type="headerRow"/>
      <tableStyleElement dxfId="2" type="firstRowStripe"/>
      <tableStyleElement dxfId="3" type="secondRowStripe"/>
    </tableStyle>
    <tableStyle count="3" pivot="0" name="Semana 4-style 2">
      <tableStyleElement dxfId="1" type="headerRow"/>
      <tableStyleElement dxfId="2" type="firstRowStripe"/>
      <tableStyleElement dxfId="3" type="secondRowStripe"/>
    </tableStyle>
    <tableStyle count="3" pivot="0" name="Semana 4-style 3">
      <tableStyleElement dxfId="1" type="headerRow"/>
      <tableStyleElement dxfId="2" type="firstRowStripe"/>
      <tableStyleElement dxfId="3" type="secondRowStripe"/>
    </tableStyle>
    <tableStyle count="3" pivot="0" name="Semana 4-style 4">
      <tableStyleElement dxfId="1" type="headerRow"/>
      <tableStyleElement dxfId="2" type="firstRowStripe"/>
      <tableStyleElement dxfId="3" type="secondRowStripe"/>
    </tableStyle>
    <tableStyle count="3" pivot="0" name="Semana 4-style 5">
      <tableStyleElement dxfId="1" type="headerRow"/>
      <tableStyleElement dxfId="2" type="firstRowStripe"/>
      <tableStyleElement dxfId="3" type="secondRowStripe"/>
    </tableStyle>
    <tableStyle count="3" pivot="0" name="Semana 4-style 6">
      <tableStyleElement dxfId="1" type="headerRow"/>
      <tableStyleElement dxfId="2" type="firstRowStripe"/>
      <tableStyleElement dxfId="3" type="secondRowStripe"/>
    </tableStyle>
    <tableStyle count="3" pivot="0" name="Semana 4-style 7">
      <tableStyleElement dxfId="1" type="headerRow"/>
      <tableStyleElement dxfId="2" type="firstRowStripe"/>
      <tableStyleElement dxfId="3" type="secondRowStripe"/>
    </tableStyle>
    <tableStyle count="2" pivot="0" name="Semana 4-style 8">
      <tableStyleElement dxfId="3" type="firstRowStripe"/>
      <tableStyleElement dxfId="2" type="secondRowStripe"/>
    </tableStyle>
    <tableStyle count="3" pivot="0" name="Copia de Semana 4-style">
      <tableStyleElement dxfId="1" type="headerRow"/>
      <tableStyleElement dxfId="2" type="firstRowStripe"/>
      <tableStyleElement dxfId="3" type="secondRowStripe"/>
    </tableStyle>
    <tableStyle count="3" pivot="0" name="Copia de Semana 4-style 2">
      <tableStyleElement dxfId="1" type="headerRow"/>
      <tableStyleElement dxfId="2" type="firstRowStripe"/>
      <tableStyleElement dxfId="3" type="secondRowStripe"/>
    </tableStyle>
    <tableStyle count="3" pivot="0" name="Copia de Semana 4-style 3">
      <tableStyleElement dxfId="1" type="headerRow"/>
      <tableStyleElement dxfId="2" type="firstRowStripe"/>
      <tableStyleElement dxfId="3" type="secondRowStripe"/>
    </tableStyle>
    <tableStyle count="3" pivot="0" name="Copia de Semana 4-style 4">
      <tableStyleElement dxfId="1" type="headerRow"/>
      <tableStyleElement dxfId="2" type="firstRowStripe"/>
      <tableStyleElement dxfId="3" type="secondRowStripe"/>
    </tableStyle>
    <tableStyle count="3" pivot="0" name="Copia de Semana 4-style 5">
      <tableStyleElement dxfId="1" type="headerRow"/>
      <tableStyleElement dxfId="2" type="firstRowStripe"/>
      <tableStyleElement dxfId="3" type="secondRowStripe"/>
    </tableStyle>
    <tableStyle count="3" pivot="0" name="Copia de Semana 4-style 6">
      <tableStyleElement dxfId="1" type="headerRow"/>
      <tableStyleElement dxfId="2" type="firstRowStripe"/>
      <tableStyleElement dxfId="3" type="secondRowStripe"/>
    </tableStyle>
    <tableStyle count="3" pivot="0" name="Copia de Semana 4-style 7">
      <tableStyleElement dxfId="1" type="headerRow"/>
      <tableStyleElement dxfId="2" type="firstRowStripe"/>
      <tableStyleElement dxfId="3" type="secondRowStripe"/>
    </tableStyle>
    <tableStyle count="2" pivot="0" name="Copia de Semana 4-style 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" displayName="Table_1" name="Table_1" id="1">
  <tableColumns count="6">
    <tableColumn name="CALORIAS" id="1"/>
    <tableColumn name="Desayuno" id="2"/>
    <tableColumn name="Comida" id="3"/>
    <tableColumn name="Cena" id="4"/>
    <tableColumn name="Snacks" id="5"/>
    <tableColumn name="Batido" id="6"/>
  </tableColumns>
  <tableStyleInfo name="Semana 1-style" showColumnStripes="0" showFirstColumn="1" showLastColumn="1" showRowStripes="1"/>
</table>
</file>

<file path=xl/tables/table2.xml><?xml version="1.0" encoding="utf-8"?>
<table xmlns="http://schemas.openxmlformats.org/spreadsheetml/2006/main" ref="I1:N8" displayName="Table_2" name="Table_2" id="2">
  <tableColumns count="6">
    <tableColumn name="PROTEINAS" id="1"/>
    <tableColumn name="Desayuno" id="2"/>
    <tableColumn name="Comida" id="3"/>
    <tableColumn name="Cena" id="4"/>
    <tableColumn name="Snacks" id="5"/>
    <tableColumn name="Batido" id="6"/>
  </tableColumns>
  <tableStyleInfo name="Semana 1-style 2" showColumnStripes="0" showFirstColumn="1" showLastColumn="1" showRowStripes="1"/>
</table>
</file>

<file path=xl/tables/table3.xml><?xml version="1.0" encoding="utf-8"?>
<table xmlns="http://schemas.openxmlformats.org/spreadsheetml/2006/main" ref="A12:F19" displayName="Table_3" name="Table_3" id="3">
  <tableColumns count="6">
    <tableColumn name="GRASAS" id="1"/>
    <tableColumn name="Desayuno" id="2"/>
    <tableColumn name="Comida" id="3"/>
    <tableColumn name="Cena" id="4"/>
    <tableColumn name="Snacks" id="5"/>
    <tableColumn name="Batido" id="6"/>
  </tableColumns>
  <tableStyleInfo name="Semana 1-style 3" showColumnStripes="0" showFirstColumn="1" showLastColumn="1" showRowStripes="1"/>
</table>
</file>

<file path=xl/tables/table4.xml><?xml version="1.0" encoding="utf-8"?>
<table xmlns="http://schemas.openxmlformats.org/spreadsheetml/2006/main" ref="I12:N19" displayName="Table_4" name="Table_4" id="4">
  <tableColumns count="6">
    <tableColumn name="CARBOS" id="1"/>
    <tableColumn name="Desayuno" id="2"/>
    <tableColumn name="Comida" id="3"/>
    <tableColumn name="Cena" id="4"/>
    <tableColumn name="Snacks" id="5"/>
    <tableColumn name="Batido" id="6"/>
  </tableColumns>
  <tableStyleInfo name="Semana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E23:I31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Semana 1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J31:J38" displayName="Table_6" name="Table_6" id="6">
  <tableColumns count="1">
    <tableColumn name="Column1" id="1"/>
  </tableColumns>
  <tableStyleInfo name="Semana 1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I32:I40" displayName="Table_7" name="Table_7" id="7">
  <tableColumns count="1">
    <tableColumn name="CALORIAS" id="1"/>
  </tableColumns>
  <tableStyleInfo name="Semana 1-style 7" showColumnStripes="0" showFirstColumn="1" showLastColumn="1" showRowStripes="1"/>
</table>
</file>

<file path=xl/tables/table8.xml><?xml version="1.0" encoding="utf-8"?>
<table xmlns="http://schemas.openxmlformats.org/spreadsheetml/2006/main" headerRowCount="0" ref="F33:G33" displayName="Table_8" name="Table_8" id="8">
  <tableColumns count="2">
    <tableColumn name="Column1" id="1"/>
    <tableColumn name="Column2" id="2"/>
  </tableColumns>
  <tableStyleInfo name="Semana 1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:G8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emana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J1:O8" displayName="Table_10" name="Table_10" id="10">
  <tableColumns count="6">
    <tableColumn name="PROTEINAS" id="1"/>
    <tableColumn name="Desayuno" id="2"/>
    <tableColumn name="Comida" id="3"/>
    <tableColumn name="Cena" id="4"/>
    <tableColumn name="Snacks" id="5"/>
    <tableColumn name="Batido" id="6"/>
  </tableColumns>
  <tableStyleInfo name="Semana 2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12:G19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emana 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J12:O19" displayName="Table_12" name="Table_12" id="12">
  <tableColumns count="6">
    <tableColumn name="CARBOS" id="1"/>
    <tableColumn name="Desayuno" id="2"/>
    <tableColumn name="Comida" id="3"/>
    <tableColumn name="Cena" id="4"/>
    <tableColumn name="Snacks" id="5"/>
    <tableColumn name="Batido" id="6"/>
  </tableColumns>
  <tableStyleInfo name="Semana 2-style 4" showColumnStripes="0" showFirstColumn="1" showLastColumn="1" showRowStripes="1"/>
</table>
</file>

<file path=xl/tables/table13.xml><?xml version="1.0" encoding="utf-8"?>
<table xmlns="http://schemas.openxmlformats.org/spreadsheetml/2006/main" headerRowCount="0" ref="E23:J31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mana 2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K31:K38" displayName="Table_14" name="Table_14" id="14">
  <tableColumns count="1">
    <tableColumn name="Column1" id="1"/>
  </tableColumns>
  <tableStyleInfo name="Semana 2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ref="J32:J40" displayName="Table_15" name="Table_15" id="15">
  <tableColumns count="1">
    <tableColumn name="CALORIAS" id="1"/>
  </tableColumns>
  <tableStyleInfo name="Semana 2-style 7" showColumnStripes="0" showFirstColumn="1" showLastColumn="1" showRowStripes="1"/>
</table>
</file>

<file path=xl/tables/table16.xml><?xml version="1.0" encoding="utf-8"?>
<table xmlns="http://schemas.openxmlformats.org/spreadsheetml/2006/main" headerRowCount="0" ref="G33:H33" displayName="Table_16" name="Table_16" id="16">
  <tableColumns count="2">
    <tableColumn name="Column1" id="1"/>
    <tableColumn name="Column2" id="2"/>
  </tableColumns>
  <tableStyleInfo name="Semana 2-style 8" showColumnStripes="0" showFirstColumn="1" showLastColumn="1" showRowStripes="1"/>
</table>
</file>

<file path=xl/tables/table17.xml><?xml version="1.0" encoding="utf-8"?>
<table xmlns="http://schemas.openxmlformats.org/spreadsheetml/2006/main" ref="A1:G8" displayName="Table_17" name="Table_17" id="17">
  <tableColumns count="7">
    <tableColumn name="CALORIA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Semana 3-style" showColumnStripes="0" showFirstColumn="1" showLastColumn="1" showRowStripes="1"/>
</table>
</file>

<file path=xl/tables/table18.xml><?xml version="1.0" encoding="utf-8"?>
<table xmlns="http://schemas.openxmlformats.org/spreadsheetml/2006/main" ref="J1:P8" displayName="Table_18" name="Table_18" id="18">
  <tableColumns count="7">
    <tableColumn name="PROTEINA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Semana 3-style 2" showColumnStripes="0" showFirstColumn="1" showLastColumn="1" showRowStripes="1"/>
</table>
</file>

<file path=xl/tables/table19.xml><?xml version="1.0" encoding="utf-8"?>
<table xmlns="http://schemas.openxmlformats.org/spreadsheetml/2006/main" ref="A12:G19" displayName="Table_19" name="Table_19" id="19">
  <tableColumns count="7">
    <tableColumn name="GRASA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Semana 3-style 3" showColumnStripes="0" showFirstColumn="1" showLastColumn="1" showRowStripes="1"/>
</table>
</file>

<file path=xl/tables/table20.xml><?xml version="1.0" encoding="utf-8"?>
<table xmlns="http://schemas.openxmlformats.org/spreadsheetml/2006/main" ref="J12:P19" displayName="Table_20" name="Table_20" id="20">
  <tableColumns count="7">
    <tableColumn name="CARBO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Semana 3-style 4" showColumnStripes="0" showFirstColumn="1" showLastColumn="1" showRowStripes="1"/>
</table>
</file>

<file path=xl/tables/table21.xml><?xml version="1.0" encoding="utf-8"?>
<table xmlns="http://schemas.openxmlformats.org/spreadsheetml/2006/main" headerRowCount="0" ref="E23:J31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mana 3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K31:K38" displayName="Table_22" name="Table_22" id="22">
  <tableColumns count="1">
    <tableColumn name="Column1" id="1"/>
  </tableColumns>
  <tableStyleInfo name="Semana 3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ref="J32:J40" displayName="Table_23" name="Table_23" id="23">
  <tableColumns count="1">
    <tableColumn name="CALORIAS" id="1"/>
  </tableColumns>
  <tableStyleInfo name="Semana 3-style 7" showColumnStripes="0" showFirstColumn="1" showLastColumn="1" showRowStripes="1"/>
</table>
</file>

<file path=xl/tables/table24.xml><?xml version="1.0" encoding="utf-8"?>
<table xmlns="http://schemas.openxmlformats.org/spreadsheetml/2006/main" headerRowCount="0" ref="G33:H33" displayName="Table_24" name="Table_24" id="24">
  <tableColumns count="2">
    <tableColumn name="Column1" id="1"/>
    <tableColumn name="Column2" id="2"/>
  </tableColumns>
  <tableStyleInfo name="Semana 3-style 8" showColumnStripes="0" showFirstColumn="1" showLastColumn="1" showRowStripes="1"/>
</table>
</file>

<file path=xl/tables/table25.xml><?xml version="1.0" encoding="utf-8"?>
<table xmlns="http://schemas.openxmlformats.org/spreadsheetml/2006/main" ref="A1:G8" displayName="Table_25" name="Table_25" id="25">
  <tableColumns count="7">
    <tableColumn name="w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Semana 4-style" showColumnStripes="0" showFirstColumn="1" showLastColumn="1" showRowStripes="1"/>
</table>
</file>

<file path=xl/tables/table26.xml><?xml version="1.0" encoding="utf-8"?>
<table xmlns="http://schemas.openxmlformats.org/spreadsheetml/2006/main" ref="J1:P8" displayName="Table_26" name="Table_26" id="26">
  <tableColumns count="7">
    <tableColumn name="PROTEINA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Semana 4-style 2" showColumnStripes="0" showFirstColumn="1" showLastColumn="1" showRowStripes="1"/>
</table>
</file>

<file path=xl/tables/table27.xml><?xml version="1.0" encoding="utf-8"?>
<table xmlns="http://schemas.openxmlformats.org/spreadsheetml/2006/main" ref="A12:G19" displayName="Table_27" name="Table_27" id="27">
  <tableColumns count="7">
    <tableColumn name="GRASA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Semana 4-style 3" showColumnStripes="0" showFirstColumn="1" showLastColumn="1" showRowStripes="1"/>
</table>
</file>

<file path=xl/tables/table28.xml><?xml version="1.0" encoding="utf-8"?>
<table xmlns="http://schemas.openxmlformats.org/spreadsheetml/2006/main" ref="J12:P19" displayName="Table_28" name="Table_28" id="28">
  <tableColumns count="7">
    <tableColumn name="CARBO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Semana 4-style 4" showColumnStripes="0" showFirstColumn="1" showLastColumn="1" showRowStripes="1"/>
</table>
</file>

<file path=xl/tables/table29.xml><?xml version="1.0" encoding="utf-8"?>
<table xmlns="http://schemas.openxmlformats.org/spreadsheetml/2006/main" headerRowCount="0" ref="E23:J31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mana 4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K31:K38" displayName="Table_30" name="Table_30" id="30">
  <tableColumns count="1">
    <tableColumn name="Column1" id="1"/>
  </tableColumns>
  <tableStyleInfo name="Semana 4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ref="J32:J40" displayName="Table_31" name="Table_31" id="31">
  <tableColumns count="1">
    <tableColumn name="CALORIAS" id="1"/>
  </tableColumns>
  <tableStyleInfo name="Semana 4-style 7" showColumnStripes="0" showFirstColumn="1" showLastColumn="1" showRowStripes="1"/>
</table>
</file>

<file path=xl/tables/table32.xml><?xml version="1.0" encoding="utf-8"?>
<table xmlns="http://schemas.openxmlformats.org/spreadsheetml/2006/main" headerRowCount="0" ref="G33:H33" displayName="Table_32" name="Table_32" id="32">
  <tableColumns count="2">
    <tableColumn name="Column1" id="1"/>
    <tableColumn name="Column2" id="2"/>
  </tableColumns>
  <tableStyleInfo name="Semana 4-style 8" showColumnStripes="0" showFirstColumn="1" showLastColumn="1" showRowStripes="1"/>
</table>
</file>

<file path=xl/tables/table33.xml><?xml version="1.0" encoding="utf-8"?>
<table xmlns="http://schemas.openxmlformats.org/spreadsheetml/2006/main" ref="A1:G8" displayName="Table_33" name="Table_33" id="33">
  <tableColumns count="7">
    <tableColumn name="Caloria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Copia de Semana 4-style" showColumnStripes="0" showFirstColumn="1" showLastColumn="1" showRowStripes="1"/>
</table>
</file>

<file path=xl/tables/table34.xml><?xml version="1.0" encoding="utf-8"?>
<table xmlns="http://schemas.openxmlformats.org/spreadsheetml/2006/main" ref="J1:P8" displayName="Table_34" name="Table_34" id="34">
  <tableColumns count="7">
    <tableColumn name="PROTEINA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Copia de Semana 4-style 2" showColumnStripes="0" showFirstColumn="1" showLastColumn="1" showRowStripes="1"/>
</table>
</file>

<file path=xl/tables/table35.xml><?xml version="1.0" encoding="utf-8"?>
<table xmlns="http://schemas.openxmlformats.org/spreadsheetml/2006/main" ref="A12:G19" displayName="Table_35" name="Table_35" id="35">
  <tableColumns count="7">
    <tableColumn name="GRASA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Copia de Semana 4-style 3" showColumnStripes="0" showFirstColumn="1" showLastColumn="1" showRowStripes="1"/>
</table>
</file>

<file path=xl/tables/table36.xml><?xml version="1.0" encoding="utf-8"?>
<table xmlns="http://schemas.openxmlformats.org/spreadsheetml/2006/main" ref="J12:P19" displayName="Table_36" name="Table_36" id="36">
  <tableColumns count="7">
    <tableColumn name="CARBOS" id="1"/>
    <tableColumn name="Desayuno" id="2"/>
    <tableColumn name="Comida" id="3"/>
    <tableColumn name="Cena" id="4"/>
    <tableColumn name="Snacks" id="5"/>
    <tableColumn name="Merienda" id="6"/>
    <tableColumn name="Batido" id="7"/>
  </tableColumns>
  <tableStyleInfo name="Copia de Semana 4-style 4" showColumnStripes="0" showFirstColumn="1" showLastColumn="1" showRowStripes="1"/>
</table>
</file>

<file path=xl/tables/table37.xml><?xml version="1.0" encoding="utf-8"?>
<table xmlns="http://schemas.openxmlformats.org/spreadsheetml/2006/main" headerRowCount="0" ref="E23:J31" displayName="Table_37" name="Table_37" id="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pia de Semana 4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K31:K38" displayName="Table_38" name="Table_38" id="38">
  <tableColumns count="1">
    <tableColumn name="Column1" id="1"/>
  </tableColumns>
  <tableStyleInfo name="Copia de Semana 4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ref="J32:J40" displayName="Table_39" name="Table_39" id="39">
  <tableColumns count="1">
    <tableColumn name="CALORIAS" id="1"/>
  </tableColumns>
  <tableStyleInfo name="Copia de Semana 4-style 7" showColumnStripes="0" showFirstColumn="1" showLastColumn="1" showRowStripes="1"/>
</table>
</file>

<file path=xl/tables/table40.xml><?xml version="1.0" encoding="utf-8"?>
<table xmlns="http://schemas.openxmlformats.org/spreadsheetml/2006/main" headerRowCount="0" ref="G33:H33" displayName="Table_40" name="Table_40" id="40">
  <tableColumns count="2">
    <tableColumn name="Column1" id="1"/>
    <tableColumn name="Column2" id="2"/>
  </tableColumns>
  <tableStyleInfo name="Copia de Semana 4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13" Type="http://schemas.openxmlformats.org/officeDocument/2006/relationships/table" Target="../tables/table20.xml"/><Relationship Id="rId12" Type="http://schemas.openxmlformats.org/officeDocument/2006/relationships/table" Target="../tables/table19.xml"/><Relationship Id="rId15" Type="http://schemas.openxmlformats.org/officeDocument/2006/relationships/table" Target="../tables/table22.xml"/><Relationship Id="rId14" Type="http://schemas.openxmlformats.org/officeDocument/2006/relationships/table" Target="../tables/table21.xml"/><Relationship Id="rId17" Type="http://schemas.openxmlformats.org/officeDocument/2006/relationships/table" Target="../tables/table24.xml"/><Relationship Id="rId16" Type="http://schemas.openxmlformats.org/officeDocument/2006/relationships/table" Target="../tables/table2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6.xml"/><Relationship Id="rId10" Type="http://schemas.openxmlformats.org/officeDocument/2006/relationships/table" Target="../tables/table25.xml"/><Relationship Id="rId13" Type="http://schemas.openxmlformats.org/officeDocument/2006/relationships/table" Target="../tables/table28.xml"/><Relationship Id="rId12" Type="http://schemas.openxmlformats.org/officeDocument/2006/relationships/table" Target="../tables/table27.xml"/><Relationship Id="rId15" Type="http://schemas.openxmlformats.org/officeDocument/2006/relationships/table" Target="../tables/table30.xml"/><Relationship Id="rId14" Type="http://schemas.openxmlformats.org/officeDocument/2006/relationships/table" Target="../tables/table29.xml"/><Relationship Id="rId17" Type="http://schemas.openxmlformats.org/officeDocument/2006/relationships/table" Target="../tables/table32.xml"/><Relationship Id="rId16" Type="http://schemas.openxmlformats.org/officeDocument/2006/relationships/table" Target="../tables/table3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34.xml"/><Relationship Id="rId10" Type="http://schemas.openxmlformats.org/officeDocument/2006/relationships/table" Target="../tables/table33.xml"/><Relationship Id="rId13" Type="http://schemas.openxmlformats.org/officeDocument/2006/relationships/table" Target="../tables/table36.xml"/><Relationship Id="rId12" Type="http://schemas.openxmlformats.org/officeDocument/2006/relationships/table" Target="../tables/table35.xml"/><Relationship Id="rId15" Type="http://schemas.openxmlformats.org/officeDocument/2006/relationships/table" Target="../tables/table38.xml"/><Relationship Id="rId14" Type="http://schemas.openxmlformats.org/officeDocument/2006/relationships/table" Target="../tables/table37.xml"/><Relationship Id="rId17" Type="http://schemas.openxmlformats.org/officeDocument/2006/relationships/table" Target="../tables/table40.xml"/><Relationship Id="rId16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" t="s">
        <v>6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</row>
    <row r="2">
      <c r="A2" s="4" t="s">
        <v>7</v>
      </c>
      <c r="B2" s="5">
        <v>501.0</v>
      </c>
      <c r="C2" s="5">
        <v>899.0</v>
      </c>
      <c r="D2" s="5">
        <v>520.0</v>
      </c>
      <c r="E2" s="5">
        <v>208.0</v>
      </c>
      <c r="F2" s="5">
        <v>131.0</v>
      </c>
      <c r="I2" s="4" t="s">
        <v>7</v>
      </c>
      <c r="J2" s="5">
        <v>30.1</v>
      </c>
      <c r="K2" s="5">
        <v>40.0</v>
      </c>
      <c r="L2" s="5">
        <v>26.6</v>
      </c>
      <c r="M2" s="5">
        <v>7.4</v>
      </c>
      <c r="N2" s="5">
        <v>24.8</v>
      </c>
    </row>
    <row r="3">
      <c r="A3" s="4" t="s">
        <v>8</v>
      </c>
      <c r="B3" s="6">
        <v>275.0</v>
      </c>
      <c r="C3" s="6">
        <v>770.0</v>
      </c>
      <c r="D3" s="6">
        <v>395.0</v>
      </c>
      <c r="E3" s="6"/>
      <c r="F3" s="6">
        <v>278.0</v>
      </c>
      <c r="I3" s="4" t="s">
        <v>8</v>
      </c>
      <c r="J3" s="6">
        <v>17.5</v>
      </c>
      <c r="K3" s="6">
        <v>50.1</v>
      </c>
      <c r="L3" s="6">
        <v>27.4</v>
      </c>
      <c r="M3" s="7"/>
      <c r="N3" s="6">
        <v>20.4</v>
      </c>
    </row>
    <row r="4">
      <c r="A4" s="4" t="s">
        <v>9</v>
      </c>
      <c r="B4" s="5">
        <v>428.0</v>
      </c>
      <c r="C4" s="5">
        <v>781.0</v>
      </c>
      <c r="D4" s="5">
        <v>830.0</v>
      </c>
      <c r="E4" s="5">
        <v>110.0</v>
      </c>
      <c r="F4" s="8"/>
      <c r="I4" s="4" t="s">
        <v>9</v>
      </c>
      <c r="J4" s="5">
        <v>23.2</v>
      </c>
      <c r="K4" s="5">
        <v>58.8</v>
      </c>
      <c r="L4" s="5">
        <v>46.4</v>
      </c>
      <c r="M4" s="5">
        <v>4.6</v>
      </c>
      <c r="N4" s="8"/>
    </row>
    <row r="5">
      <c r="A5" s="4" t="s">
        <v>10</v>
      </c>
      <c r="B5" s="6">
        <v>306.0</v>
      </c>
      <c r="C5" s="6">
        <v>815.0</v>
      </c>
      <c r="D5" s="6">
        <v>334.0</v>
      </c>
      <c r="E5" s="6">
        <v>416.0</v>
      </c>
      <c r="F5" s="6">
        <v>127.0</v>
      </c>
      <c r="I5" s="4" t="s">
        <v>10</v>
      </c>
      <c r="J5" s="6">
        <v>14.2</v>
      </c>
      <c r="K5" s="6">
        <v>51.6</v>
      </c>
      <c r="L5" s="6">
        <v>19.5</v>
      </c>
      <c r="M5" s="6">
        <v>33.3</v>
      </c>
      <c r="N5" s="6">
        <v>3.8</v>
      </c>
    </row>
    <row r="6">
      <c r="A6" s="4" t="s">
        <v>11</v>
      </c>
      <c r="B6" s="5">
        <v>427.0</v>
      </c>
      <c r="C6" s="5">
        <v>789.0</v>
      </c>
      <c r="D6" s="5">
        <v>773.0</v>
      </c>
      <c r="E6" s="5">
        <v>213.0</v>
      </c>
      <c r="F6" s="5">
        <v>144.0</v>
      </c>
      <c r="I6" s="4" t="s">
        <v>11</v>
      </c>
      <c r="J6" s="5">
        <v>26.3</v>
      </c>
      <c r="K6" s="5">
        <v>58.1</v>
      </c>
      <c r="L6" s="5">
        <v>24.7</v>
      </c>
      <c r="M6" s="5">
        <v>14.0</v>
      </c>
      <c r="N6" s="5">
        <v>27.4</v>
      </c>
    </row>
    <row r="7">
      <c r="A7" s="4" t="s">
        <v>12</v>
      </c>
      <c r="B7" s="6">
        <v>503.0</v>
      </c>
      <c r="C7" s="6">
        <v>2050.0</v>
      </c>
      <c r="D7" s="6">
        <v>169.0</v>
      </c>
      <c r="E7" s="7"/>
      <c r="F7" s="7"/>
      <c r="I7" s="4" t="s">
        <v>12</v>
      </c>
      <c r="J7" s="6">
        <v>27.4</v>
      </c>
      <c r="K7" s="6">
        <v>65.0</v>
      </c>
      <c r="L7" s="6">
        <v>16.8</v>
      </c>
      <c r="M7" s="7"/>
      <c r="N7" s="7"/>
    </row>
    <row r="8">
      <c r="A8" s="4" t="s">
        <v>13</v>
      </c>
      <c r="B8" s="5">
        <v>473.0</v>
      </c>
      <c r="C8" s="5">
        <v>993.0</v>
      </c>
      <c r="D8" s="5">
        <v>399.0</v>
      </c>
      <c r="E8" s="5">
        <v>350.0</v>
      </c>
      <c r="F8" s="5">
        <v>108.0</v>
      </c>
      <c r="I8" s="4" t="s">
        <v>13</v>
      </c>
      <c r="J8" s="5">
        <v>24.0</v>
      </c>
      <c r="K8" s="5">
        <v>63.1</v>
      </c>
      <c r="L8" s="5">
        <v>17.9</v>
      </c>
      <c r="M8" s="5">
        <v>11.2</v>
      </c>
      <c r="N8" s="5">
        <v>21.1</v>
      </c>
    </row>
    <row r="12">
      <c r="A12" s="1" t="s">
        <v>14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I12" s="1" t="s">
        <v>15</v>
      </c>
      <c r="J12" s="2" t="s">
        <v>1</v>
      </c>
      <c r="K12" s="2" t="s">
        <v>2</v>
      </c>
      <c r="L12" s="2" t="s">
        <v>3</v>
      </c>
      <c r="M12" s="2" t="s">
        <v>4</v>
      </c>
      <c r="N12" s="2" t="s">
        <v>5</v>
      </c>
    </row>
    <row r="13">
      <c r="A13" s="4" t="s">
        <v>7</v>
      </c>
      <c r="B13" s="5">
        <v>19.1</v>
      </c>
      <c r="C13" s="5">
        <v>21.9</v>
      </c>
      <c r="D13" s="5">
        <v>14.0</v>
      </c>
      <c r="E13" s="5">
        <v>2.1</v>
      </c>
      <c r="F13" s="5">
        <v>2.0</v>
      </c>
      <c r="I13" s="4" t="s">
        <v>7</v>
      </c>
      <c r="J13" s="5">
        <v>49.9</v>
      </c>
      <c r="K13" s="5">
        <v>124.7</v>
      </c>
      <c r="L13" s="5">
        <v>68.4</v>
      </c>
      <c r="M13" s="5">
        <v>43.9</v>
      </c>
      <c r="N13" s="5">
        <v>3.1</v>
      </c>
    </row>
    <row r="14">
      <c r="A14" s="4" t="s">
        <v>8</v>
      </c>
      <c r="B14" s="6">
        <v>7.9</v>
      </c>
      <c r="C14" s="6">
        <v>14.2</v>
      </c>
      <c r="D14" s="6">
        <v>5.7</v>
      </c>
      <c r="E14" s="7"/>
      <c r="F14" s="6">
        <v>2.0</v>
      </c>
      <c r="I14" s="4" t="s">
        <v>8</v>
      </c>
      <c r="J14" s="6">
        <v>31.9</v>
      </c>
      <c r="K14" s="6">
        <v>110.0</v>
      </c>
      <c r="L14" s="6">
        <v>56.9</v>
      </c>
      <c r="M14" s="7"/>
      <c r="N14" s="6">
        <v>45.9</v>
      </c>
    </row>
    <row r="15">
      <c r="A15" s="4" t="s">
        <v>9</v>
      </c>
      <c r="B15" s="5">
        <v>8.1</v>
      </c>
      <c r="C15" s="5">
        <v>20.5</v>
      </c>
      <c r="D15" s="5">
        <v>34.0</v>
      </c>
      <c r="E15" s="5">
        <v>0.7</v>
      </c>
      <c r="F15" s="8"/>
      <c r="I15" s="4" t="s">
        <v>9</v>
      </c>
      <c r="J15" s="5">
        <v>63.4</v>
      </c>
      <c r="K15" s="5">
        <v>85.9</v>
      </c>
      <c r="L15" s="5">
        <v>82.6</v>
      </c>
      <c r="M15" s="5">
        <v>21.7</v>
      </c>
      <c r="N15" s="8"/>
    </row>
    <row r="16">
      <c r="A16" s="4" t="s">
        <v>10</v>
      </c>
      <c r="B16" s="6">
        <v>2.9</v>
      </c>
      <c r="C16" s="6">
        <v>23.2</v>
      </c>
      <c r="D16" s="6">
        <v>19.1</v>
      </c>
      <c r="E16" s="6">
        <v>12.6</v>
      </c>
      <c r="F16" s="6">
        <v>0.7</v>
      </c>
      <c r="I16" s="4" t="s">
        <v>10</v>
      </c>
      <c r="J16" s="6">
        <v>55.4</v>
      </c>
      <c r="K16" s="6">
        <v>97.9</v>
      </c>
      <c r="L16" s="6">
        <v>22.5</v>
      </c>
      <c r="M16" s="6">
        <v>42.4</v>
      </c>
      <c r="N16" s="6">
        <v>27.8</v>
      </c>
    </row>
    <row r="17">
      <c r="A17" s="4" t="s">
        <v>11</v>
      </c>
      <c r="B17" s="5">
        <v>5.7</v>
      </c>
      <c r="C17" s="5">
        <v>15.4</v>
      </c>
      <c r="D17" s="5">
        <v>19.2</v>
      </c>
      <c r="E17" s="5">
        <v>5.0</v>
      </c>
      <c r="F17" s="5">
        <v>2.2</v>
      </c>
      <c r="I17" s="4" t="s">
        <v>11</v>
      </c>
      <c r="J17" s="5">
        <v>62.9</v>
      </c>
      <c r="K17" s="5">
        <v>100.9</v>
      </c>
      <c r="L17" s="5">
        <v>120.9</v>
      </c>
      <c r="M17" s="5">
        <v>25.8</v>
      </c>
      <c r="N17" s="5">
        <v>3.4</v>
      </c>
    </row>
    <row r="18">
      <c r="A18" s="4" t="s">
        <v>12</v>
      </c>
      <c r="B18" s="6">
        <v>11.2</v>
      </c>
      <c r="C18" s="6">
        <v>105.0</v>
      </c>
      <c r="D18" s="6">
        <v>1.5</v>
      </c>
      <c r="E18" s="7"/>
      <c r="F18" s="7"/>
      <c r="I18" s="4" t="s">
        <v>12</v>
      </c>
      <c r="J18" s="6">
        <v>69.8</v>
      </c>
      <c r="K18" s="6">
        <v>180.0</v>
      </c>
      <c r="L18" s="6">
        <v>23.9</v>
      </c>
      <c r="M18" s="7"/>
      <c r="N18" s="7"/>
    </row>
    <row r="19">
      <c r="A19" s="4" t="s">
        <v>13</v>
      </c>
      <c r="B19" s="5">
        <v>9.5</v>
      </c>
      <c r="C19" s="5">
        <v>22.1</v>
      </c>
      <c r="D19" s="5">
        <v>10.9</v>
      </c>
      <c r="E19" s="5">
        <v>15.3</v>
      </c>
      <c r="F19" s="5">
        <v>1.7</v>
      </c>
      <c r="I19" s="4" t="s">
        <v>13</v>
      </c>
      <c r="J19" s="5">
        <v>71.5</v>
      </c>
      <c r="K19" s="5">
        <v>127.2</v>
      </c>
      <c r="L19" s="5">
        <v>56.3</v>
      </c>
      <c r="M19" s="5">
        <v>30.6</v>
      </c>
      <c r="N19" s="5">
        <v>2.1</v>
      </c>
    </row>
    <row r="22">
      <c r="A22" s="9"/>
      <c r="B22" s="9"/>
      <c r="C22" s="9"/>
      <c r="D22" s="9"/>
      <c r="E22" s="9"/>
      <c r="F22" s="9"/>
      <c r="G22" s="9"/>
      <c r="H22" s="9"/>
      <c r="I22" s="10"/>
      <c r="J22" s="10"/>
      <c r="K22" s="10"/>
      <c r="L22" s="10"/>
      <c r="M22" s="9"/>
      <c r="N22" s="9"/>
    </row>
    <row r="23">
      <c r="A23" s="11" t="s">
        <v>16</v>
      </c>
      <c r="B23" s="12">
        <v>55.95</v>
      </c>
      <c r="C23" s="9"/>
      <c r="D23" s="9"/>
      <c r="E23" s="13"/>
      <c r="F23" s="13"/>
      <c r="G23" s="13"/>
      <c r="I23" s="14" t="s">
        <v>17</v>
      </c>
      <c r="J23" s="14" t="s">
        <v>6</v>
      </c>
      <c r="K23" s="14" t="s">
        <v>14</v>
      </c>
      <c r="L23" s="15" t="s">
        <v>18</v>
      </c>
      <c r="M23" s="13"/>
      <c r="N23" s="13"/>
      <c r="O23" s="9"/>
    </row>
    <row r="24">
      <c r="A24" s="11" t="s">
        <v>19</v>
      </c>
      <c r="B24" s="16">
        <v>56.35</v>
      </c>
      <c r="C24" s="9"/>
      <c r="D24" s="14" t="s">
        <v>20</v>
      </c>
      <c r="E24" s="14" t="s">
        <v>21</v>
      </c>
      <c r="F24" s="14" t="s">
        <v>22</v>
      </c>
      <c r="G24" s="9"/>
      <c r="I24" s="14" t="s">
        <v>7</v>
      </c>
      <c r="J24" s="17">
        <f t="shared" ref="J24:J30" si="1">SUM(J2:N2)</f>
        <v>128.9</v>
      </c>
      <c r="K24" s="17">
        <f t="shared" ref="K24:K30" si="2">SUM(B13:F13)</f>
        <v>59.1</v>
      </c>
      <c r="L24" s="17">
        <f t="shared" ref="L24:L30" si="3">SUM(J13:N13)</f>
        <v>290</v>
      </c>
      <c r="M24" s="13"/>
      <c r="N24" s="9"/>
      <c r="O24" s="9"/>
    </row>
    <row r="25">
      <c r="A25" s="16" t="s">
        <v>23</v>
      </c>
      <c r="B25" s="11">
        <f>B24-B23</f>
        <v>0.4</v>
      </c>
      <c r="C25" s="9"/>
      <c r="D25" s="14" t="s">
        <v>24</v>
      </c>
      <c r="E25" s="18">
        <f>B23*0.8</f>
        <v>44.76</v>
      </c>
      <c r="F25" s="18">
        <f>B23*1</f>
        <v>55.95</v>
      </c>
      <c r="G25" s="13"/>
      <c r="I25" s="14" t="s">
        <v>8</v>
      </c>
      <c r="J25" s="17">
        <f t="shared" si="1"/>
        <v>115.4</v>
      </c>
      <c r="K25" s="17">
        <f t="shared" si="2"/>
        <v>29.8</v>
      </c>
      <c r="L25" s="17">
        <f t="shared" si="3"/>
        <v>244.7</v>
      </c>
      <c r="M25" s="13"/>
      <c r="N25" s="9"/>
      <c r="O25" s="9"/>
    </row>
    <row r="26">
      <c r="A26" s="9"/>
      <c r="B26" s="9"/>
      <c r="C26" s="9"/>
      <c r="D26" s="14" t="s">
        <v>25</v>
      </c>
      <c r="E26" s="19">
        <f>B23*1.8</f>
        <v>100.71</v>
      </c>
      <c r="F26" s="19">
        <f>B23*2.2</f>
        <v>123.09</v>
      </c>
      <c r="G26" s="13"/>
      <c r="I26" s="14" t="s">
        <v>9</v>
      </c>
      <c r="J26" s="17">
        <f t="shared" si="1"/>
        <v>133</v>
      </c>
      <c r="K26" s="17">
        <f t="shared" si="2"/>
        <v>63.3</v>
      </c>
      <c r="L26" s="17">
        <f t="shared" si="3"/>
        <v>253.6</v>
      </c>
      <c r="M26" s="13"/>
      <c r="N26" s="9"/>
      <c r="O26" s="9"/>
    </row>
    <row r="27">
      <c r="A27" s="9"/>
      <c r="B27" s="9"/>
      <c r="D27" s="14" t="s">
        <v>26</v>
      </c>
      <c r="E27" s="20" t="s">
        <v>7</v>
      </c>
      <c r="F27" s="18">
        <f>(O33-(F26*4)-(F25*9))/4</f>
        <v>319.21</v>
      </c>
      <c r="G27" s="18">
        <f>(O33-(E26*4)-(E25*9))/4</f>
        <v>366.7675</v>
      </c>
      <c r="I27" s="14" t="s">
        <v>10</v>
      </c>
      <c r="J27" s="17">
        <f t="shared" si="1"/>
        <v>122.4</v>
      </c>
      <c r="K27" s="17">
        <f t="shared" si="2"/>
        <v>58.5</v>
      </c>
      <c r="L27" s="17">
        <f t="shared" si="3"/>
        <v>246</v>
      </c>
      <c r="M27" s="13"/>
      <c r="N27" s="9"/>
      <c r="O27" s="9"/>
    </row>
    <row r="28">
      <c r="A28" s="9"/>
      <c r="B28" s="9"/>
      <c r="D28" s="9"/>
      <c r="E28" s="15" t="s">
        <v>8</v>
      </c>
      <c r="F28" s="19">
        <f>(O34-(F26*4)-(F25*9))/4</f>
        <v>187.46</v>
      </c>
      <c r="G28" s="19">
        <f>(O34-(E26*4)-(E25*9))/4</f>
        <v>235.0175</v>
      </c>
      <c r="I28" s="14" t="s">
        <v>11</v>
      </c>
      <c r="J28" s="17">
        <f t="shared" si="1"/>
        <v>150.5</v>
      </c>
      <c r="K28" s="17">
        <f t="shared" si="2"/>
        <v>47.5</v>
      </c>
      <c r="L28" s="17">
        <f t="shared" si="3"/>
        <v>313.9</v>
      </c>
      <c r="M28" s="13"/>
      <c r="N28" s="9"/>
      <c r="O28" s="9"/>
    </row>
    <row r="29">
      <c r="A29" s="9"/>
      <c r="B29" s="9"/>
      <c r="D29" s="9"/>
      <c r="E29" s="20" t="s">
        <v>9</v>
      </c>
      <c r="F29" s="18">
        <f>(O35-(F26*4)-(F25*9))/4</f>
        <v>271.21</v>
      </c>
      <c r="G29" s="18">
        <f>(O35-(E26*4)-(E25*9))/4</f>
        <v>318.7675</v>
      </c>
      <c r="I29" s="14" t="s">
        <v>12</v>
      </c>
      <c r="J29" s="17">
        <f t="shared" si="1"/>
        <v>109.2</v>
      </c>
      <c r="K29" s="17">
        <f t="shared" si="2"/>
        <v>117.7</v>
      </c>
      <c r="L29" s="17">
        <f t="shared" si="3"/>
        <v>273.7</v>
      </c>
      <c r="M29" s="13"/>
      <c r="N29" s="13"/>
      <c r="O29" s="9"/>
    </row>
    <row r="30">
      <c r="A30" s="9"/>
      <c r="B30" s="9"/>
      <c r="D30" s="9"/>
      <c r="E30" s="15" t="s">
        <v>10</v>
      </c>
      <c r="F30" s="19">
        <f>(O36-(F26*4)-(F25*9))/4</f>
        <v>229.96</v>
      </c>
      <c r="G30" s="19">
        <f>(O36-(E26*4)-(E25*9))/4</f>
        <v>277.5175</v>
      </c>
      <c r="I30" s="14" t="s">
        <v>13</v>
      </c>
      <c r="J30" s="17">
        <f t="shared" si="1"/>
        <v>137.3</v>
      </c>
      <c r="K30" s="17">
        <f t="shared" si="2"/>
        <v>59.5</v>
      </c>
      <c r="L30" s="17">
        <f t="shared" si="3"/>
        <v>287.7</v>
      </c>
      <c r="M30" s="13"/>
      <c r="N30" s="13"/>
      <c r="O30" s="9"/>
    </row>
    <row r="31">
      <c r="A31" s="9"/>
      <c r="B31" s="9"/>
      <c r="D31" s="9"/>
      <c r="E31" s="15" t="s">
        <v>11</v>
      </c>
      <c r="F31" s="18">
        <f>(O37-(F26*4)-(F25*9))/4</f>
        <v>318.46</v>
      </c>
      <c r="G31" s="18">
        <f>(O37-(E26*4)-(E25*9))/4</f>
        <v>366.0175</v>
      </c>
      <c r="I31" s="21"/>
      <c r="J31" s="22"/>
      <c r="K31" s="10"/>
      <c r="L31" s="10"/>
      <c r="M31" s="10"/>
      <c r="N31" s="10"/>
      <c r="O31" s="10"/>
    </row>
    <row r="32">
      <c r="A32" s="9"/>
      <c r="B32" s="9"/>
      <c r="D32" s="9"/>
      <c r="E32" s="20" t="s">
        <v>27</v>
      </c>
      <c r="F32" s="19">
        <f>(O38-(F26*4)-(F25*9))/4</f>
        <v>277.71</v>
      </c>
      <c r="G32" s="19">
        <f>(O38-(E26*4)-(E25*9))/4</f>
        <v>325.2675</v>
      </c>
      <c r="I32" s="14" t="s">
        <v>0</v>
      </c>
      <c r="J32" s="14" t="s">
        <v>28</v>
      </c>
      <c r="K32" s="14" t="s">
        <v>29</v>
      </c>
      <c r="L32" s="23" t="s">
        <v>30</v>
      </c>
      <c r="M32" s="23" t="s">
        <v>31</v>
      </c>
      <c r="N32" s="15" t="s">
        <v>32</v>
      </c>
      <c r="O32" s="15" t="s">
        <v>33</v>
      </c>
    </row>
    <row r="33">
      <c r="A33" s="9"/>
      <c r="B33" s="9"/>
      <c r="D33" s="9"/>
      <c r="E33" s="20" t="s">
        <v>13</v>
      </c>
      <c r="F33" s="18">
        <f>(O39-(F26*4)-(F25*9))/4</f>
        <v>327.46</v>
      </c>
      <c r="G33" s="18">
        <f>(O39-(E26*4)-(E25*9))/4</f>
        <v>375.0175</v>
      </c>
      <c r="I33" s="14" t="s">
        <v>7</v>
      </c>
      <c r="J33" s="24">
        <f t="shared" ref="J33:J39" si="4">SUM(B2:F2)</f>
        <v>2259</v>
      </c>
      <c r="K33" s="25">
        <v>657.0</v>
      </c>
      <c r="L33" s="24">
        <f>E36</f>
        <v>1465.75</v>
      </c>
      <c r="M33" s="26">
        <f t="shared" ref="M33:M39" si="5">SUM(K33:L33)</f>
        <v>2122.75</v>
      </c>
      <c r="N33" s="27">
        <f t="shared" ref="N33:N39" si="6">J33-M33</f>
        <v>136.25</v>
      </c>
      <c r="O33" s="19">
        <f t="shared" ref="O33:O39" si="7">M33+150</f>
        <v>2272.75</v>
      </c>
    </row>
    <row r="34">
      <c r="A34" s="9"/>
      <c r="B34" s="9"/>
      <c r="C34" s="9"/>
      <c r="D34" s="9"/>
      <c r="E34" s="9"/>
      <c r="F34" s="9"/>
      <c r="G34" s="9"/>
      <c r="I34" s="14" t="s">
        <v>8</v>
      </c>
      <c r="J34" s="19">
        <f t="shared" si="4"/>
        <v>1718</v>
      </c>
      <c r="K34" s="28">
        <v>130.0</v>
      </c>
      <c r="L34" s="24">
        <f>E36</f>
        <v>1465.75</v>
      </c>
      <c r="M34" s="26">
        <f t="shared" si="5"/>
        <v>1595.75</v>
      </c>
      <c r="N34" s="27">
        <f t="shared" si="6"/>
        <v>122.25</v>
      </c>
      <c r="O34" s="19">
        <f t="shared" si="7"/>
        <v>1745.75</v>
      </c>
    </row>
    <row r="35">
      <c r="A35" s="9"/>
      <c r="B35" s="9"/>
      <c r="C35" s="9"/>
      <c r="D35" s="9"/>
      <c r="E35" s="9"/>
      <c r="F35" s="9"/>
      <c r="G35" s="9"/>
      <c r="I35" s="14" t="s">
        <v>9</v>
      </c>
      <c r="J35" s="24">
        <f t="shared" si="4"/>
        <v>2149</v>
      </c>
      <c r="K35" s="25">
        <v>465.0</v>
      </c>
      <c r="L35" s="24">
        <f>E36</f>
        <v>1465.75</v>
      </c>
      <c r="M35" s="26">
        <f t="shared" si="5"/>
        <v>1930.75</v>
      </c>
      <c r="N35" s="27">
        <f t="shared" si="6"/>
        <v>218.25</v>
      </c>
      <c r="O35" s="19">
        <f t="shared" si="7"/>
        <v>2080.75</v>
      </c>
    </row>
    <row r="36">
      <c r="A36" s="9"/>
      <c r="B36" s="9"/>
      <c r="C36" s="9"/>
      <c r="D36" s="15" t="s">
        <v>34</v>
      </c>
      <c r="E36" s="19">
        <f>(10*B23)+(6.25*165)-(5*26)+5</f>
        <v>1465.75</v>
      </c>
      <c r="F36" s="9"/>
      <c r="G36" s="9"/>
      <c r="I36" s="14" t="s">
        <v>10</v>
      </c>
      <c r="J36" s="19">
        <f t="shared" si="4"/>
        <v>1998</v>
      </c>
      <c r="K36" s="29">
        <v>300.0</v>
      </c>
      <c r="L36" s="24">
        <f>E36</f>
        <v>1465.75</v>
      </c>
      <c r="M36" s="26">
        <f t="shared" si="5"/>
        <v>1765.75</v>
      </c>
      <c r="N36" s="27">
        <f t="shared" si="6"/>
        <v>232.25</v>
      </c>
      <c r="O36" s="19">
        <f t="shared" si="7"/>
        <v>1915.75</v>
      </c>
    </row>
    <row r="37">
      <c r="A37" s="9"/>
      <c r="B37" s="9"/>
      <c r="C37" s="9"/>
      <c r="D37" s="9"/>
      <c r="E37" s="9"/>
      <c r="F37" s="9"/>
      <c r="G37" s="9"/>
      <c r="I37" s="14" t="s">
        <v>11</v>
      </c>
      <c r="J37" s="24">
        <f t="shared" si="4"/>
        <v>2346</v>
      </c>
      <c r="K37" s="30">
        <v>654.0</v>
      </c>
      <c r="L37" s="24">
        <f>E36</f>
        <v>1465.75</v>
      </c>
      <c r="M37" s="26">
        <f t="shared" si="5"/>
        <v>2119.75</v>
      </c>
      <c r="N37" s="27">
        <f t="shared" si="6"/>
        <v>226.25</v>
      </c>
      <c r="O37" s="19">
        <f t="shared" si="7"/>
        <v>2269.75</v>
      </c>
    </row>
    <row r="38">
      <c r="A38" s="9"/>
      <c r="B38" s="9"/>
      <c r="C38" s="9"/>
      <c r="D38" s="9"/>
      <c r="E38" s="9"/>
      <c r="F38" s="9"/>
      <c r="G38" s="9"/>
      <c r="I38" s="14" t="s">
        <v>12</v>
      </c>
      <c r="J38" s="19">
        <f t="shared" si="4"/>
        <v>2722</v>
      </c>
      <c r="K38" s="29">
        <v>491.0</v>
      </c>
      <c r="L38" s="24">
        <f>E36</f>
        <v>1465.75</v>
      </c>
      <c r="M38" s="26">
        <f t="shared" si="5"/>
        <v>1956.75</v>
      </c>
      <c r="N38" s="27">
        <f t="shared" si="6"/>
        <v>765.25</v>
      </c>
      <c r="O38" s="19">
        <f t="shared" si="7"/>
        <v>2106.75</v>
      </c>
    </row>
    <row r="39">
      <c r="A39" s="9"/>
      <c r="B39" s="9"/>
      <c r="C39" s="9"/>
      <c r="D39" s="9"/>
      <c r="E39" s="9"/>
      <c r="F39" s="9"/>
      <c r="G39" s="9"/>
      <c r="I39" s="14" t="s">
        <v>13</v>
      </c>
      <c r="J39" s="24">
        <f t="shared" si="4"/>
        <v>2323</v>
      </c>
      <c r="K39" s="30">
        <v>690.0</v>
      </c>
      <c r="L39" s="24">
        <f>E36</f>
        <v>1465.75</v>
      </c>
      <c r="M39" s="24">
        <f t="shared" si="5"/>
        <v>2155.75</v>
      </c>
      <c r="N39" s="27">
        <f t="shared" si="6"/>
        <v>167.25</v>
      </c>
      <c r="O39" s="19">
        <f t="shared" si="7"/>
        <v>2305.75</v>
      </c>
    </row>
    <row r="40">
      <c r="A40" s="9"/>
      <c r="B40" s="9"/>
      <c r="C40" s="9"/>
      <c r="D40" s="9"/>
      <c r="E40" s="9"/>
      <c r="F40" s="9"/>
      <c r="G40" s="9"/>
      <c r="I40" s="15" t="s">
        <v>35</v>
      </c>
      <c r="J40" s="9"/>
      <c r="K40" s="9"/>
      <c r="L40" s="9"/>
      <c r="M40" s="9"/>
      <c r="N40" s="31">
        <f>SUM(N33:N39)</f>
        <v>1867.75</v>
      </c>
      <c r="O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>
      <c r="E42" s="32"/>
      <c r="F42" s="32"/>
    </row>
    <row r="43">
      <c r="E43" s="32"/>
      <c r="F43" s="32"/>
    </row>
  </sheetData>
  <conditionalFormatting sqref="K24:K30">
    <cfRule type="expression" dxfId="4" priority="1">
      <formula>AND(K24&gt;=$E$25,K24&lt;=$F$25)</formula>
    </cfRule>
  </conditionalFormatting>
  <conditionalFormatting sqref="M23:M29">
    <cfRule type="colorScale" priority="2">
      <colorScale>
        <cfvo type="formula" val="200"/>
        <cfvo type="formula" val="300"/>
        <cfvo type="formula" val="400"/>
        <color rgb="FFFF0000"/>
        <color rgb="FF00FF00"/>
        <color rgb="FFFF0000"/>
      </colorScale>
    </cfRule>
  </conditionalFormatting>
  <conditionalFormatting sqref="N33:N39">
    <cfRule type="colorScale" priority="3">
      <colorScale>
        <cfvo type="formula" val="0"/>
        <cfvo type="formula" val="200"/>
        <cfvo type="formula" val="400"/>
        <color rgb="FFFF0000"/>
        <color rgb="FF00FF00"/>
        <color rgb="FFFF0000"/>
      </colorScale>
    </cfRule>
  </conditionalFormatting>
  <conditionalFormatting sqref="J24:J30">
    <cfRule type="expression" dxfId="4" priority="4">
      <formula>AND(J24&gt;=$E$26,J24&lt;=$F$26)</formula>
    </cfRule>
  </conditionalFormatting>
  <conditionalFormatting sqref="L24">
    <cfRule type="expression" dxfId="5" priority="5">
      <formula>AND(L24&gt;=$F$27,L24&lt;=$G$27)</formula>
    </cfRule>
  </conditionalFormatting>
  <conditionalFormatting sqref="B25">
    <cfRule type="colorScale" priority="6">
      <colorScale>
        <cfvo type="formula" val="0"/>
        <cfvo type="formula" val="0.15"/>
        <cfvo type="formula" val="0.3"/>
        <color rgb="FFFF0000"/>
        <color rgb="FF00FF00"/>
        <color rgb="FFFF0000"/>
      </colorScale>
    </cfRule>
  </conditionalFormatting>
  <conditionalFormatting sqref="L25">
    <cfRule type="expression" dxfId="5" priority="7">
      <formula>AND(L25&gt;=$F$28,L25&lt;=$G$28)</formula>
    </cfRule>
  </conditionalFormatting>
  <conditionalFormatting sqref="L26">
    <cfRule type="expression" dxfId="5" priority="8">
      <formula>AND(L26&gt;=$F$29,L26&lt;=$G$29)</formula>
    </cfRule>
  </conditionalFormatting>
  <conditionalFormatting sqref="L27">
    <cfRule type="expression" dxfId="5" priority="9">
      <formula>AND(L27&gt;=$F$30,L27&lt;=$G$30)</formula>
    </cfRule>
  </conditionalFormatting>
  <conditionalFormatting sqref="L28">
    <cfRule type="expression" dxfId="5" priority="10">
      <formula>AND(L28&gt;=$F$31,L28&lt;=$G$31)</formula>
    </cfRule>
  </conditionalFormatting>
  <conditionalFormatting sqref="L29">
    <cfRule type="expression" dxfId="5" priority="11">
      <formula>AND(L29&gt;=$F$32,L29&lt;=$G$32)</formula>
    </cfRule>
  </conditionalFormatting>
  <conditionalFormatting sqref="L30">
    <cfRule type="expression" dxfId="5" priority="12">
      <formula>AND(L30&gt;=$F$33,L30&lt;=$G$33)</formula>
    </cfRule>
  </conditionalFormatting>
  <conditionalFormatting sqref="J24:J30">
    <cfRule type="expression" dxfId="6" priority="13">
      <formula>AND(J24&gt;$B$23*2.2,J24&lt;$B$23*2.5)</formula>
    </cfRule>
  </conditionalFormatting>
  <conditionalFormatting sqref="K24:K30">
    <cfRule type="expression" dxfId="7" priority="14">
      <formula>AND(K24&gt;$B$23*1,K24&lt;$B$23*1.2)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J1" s="1" t="s">
        <v>6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</row>
    <row r="2">
      <c r="A2" s="4" t="s">
        <v>7</v>
      </c>
      <c r="B2" s="5">
        <v>362.0</v>
      </c>
      <c r="C2" s="5">
        <v>879.0</v>
      </c>
      <c r="D2" s="5">
        <v>704.0</v>
      </c>
      <c r="E2" s="5">
        <v>224.0</v>
      </c>
      <c r="F2" s="5"/>
      <c r="G2" s="5"/>
      <c r="J2" s="4" t="s">
        <v>7</v>
      </c>
      <c r="K2" s="5">
        <v>19.3</v>
      </c>
      <c r="L2" s="5">
        <v>51.5</v>
      </c>
      <c r="M2" s="5">
        <v>33.4</v>
      </c>
      <c r="N2" s="5">
        <v>8.7</v>
      </c>
      <c r="O2" s="5"/>
    </row>
    <row r="3">
      <c r="A3" s="4" t="s">
        <v>8</v>
      </c>
      <c r="B3" s="6">
        <v>383.0</v>
      </c>
      <c r="C3" s="6">
        <v>1046.0</v>
      </c>
      <c r="D3" s="6">
        <v>761.0</v>
      </c>
      <c r="E3" s="6">
        <v>356.0</v>
      </c>
      <c r="F3" s="6"/>
      <c r="G3" s="6"/>
      <c r="J3" s="4" t="s">
        <v>8</v>
      </c>
      <c r="K3" s="6">
        <v>21.5</v>
      </c>
      <c r="L3" s="6">
        <v>50.9</v>
      </c>
      <c r="M3" s="6">
        <v>31.3</v>
      </c>
      <c r="N3" s="6">
        <v>40.4</v>
      </c>
      <c r="O3" s="6"/>
    </row>
    <row r="4">
      <c r="A4" s="4" t="s">
        <v>9</v>
      </c>
      <c r="B4" s="5">
        <v>319.0</v>
      </c>
      <c r="C4" s="5">
        <v>1312.0</v>
      </c>
      <c r="D4" s="5">
        <v>194.0</v>
      </c>
      <c r="E4" s="5">
        <v>236.0</v>
      </c>
      <c r="F4" s="5"/>
      <c r="G4" s="8"/>
      <c r="J4" s="4" t="s">
        <v>9</v>
      </c>
      <c r="K4" s="5">
        <v>19.0</v>
      </c>
      <c r="L4" s="5">
        <v>71.4</v>
      </c>
      <c r="M4" s="5">
        <v>20.3</v>
      </c>
      <c r="N4" s="5">
        <v>7.0</v>
      </c>
      <c r="O4" s="8"/>
    </row>
    <row r="5">
      <c r="A5" s="4" t="s">
        <v>10</v>
      </c>
      <c r="B5" s="6">
        <v>394.0</v>
      </c>
      <c r="C5" s="6">
        <v>1134.0</v>
      </c>
      <c r="D5" s="6">
        <v>565.0</v>
      </c>
      <c r="E5" s="6">
        <v>211.0</v>
      </c>
      <c r="F5" s="6"/>
      <c r="G5" s="6"/>
      <c r="J5" s="4" t="s">
        <v>10</v>
      </c>
      <c r="K5" s="6">
        <v>21.9</v>
      </c>
      <c r="L5" s="6">
        <v>80.0</v>
      </c>
      <c r="M5" s="6">
        <v>15.9</v>
      </c>
      <c r="N5" s="6">
        <v>20.8</v>
      </c>
      <c r="O5" s="6"/>
    </row>
    <row r="6">
      <c r="A6" s="4" t="s">
        <v>11</v>
      </c>
      <c r="B6" s="5">
        <v>434.0</v>
      </c>
      <c r="C6" s="5">
        <v>958.0</v>
      </c>
      <c r="D6" s="5">
        <v>1400.0</v>
      </c>
      <c r="E6" s="5">
        <v>69.0</v>
      </c>
      <c r="F6" s="5"/>
      <c r="G6" s="5"/>
      <c r="J6" s="4" t="s">
        <v>11</v>
      </c>
      <c r="K6" s="5">
        <v>31.4</v>
      </c>
      <c r="L6" s="5">
        <v>72.8</v>
      </c>
      <c r="M6" s="5">
        <v>66.0</v>
      </c>
      <c r="N6" s="5">
        <v>2.0</v>
      </c>
      <c r="O6" s="5"/>
    </row>
    <row r="7">
      <c r="A7" s="4" t="s">
        <v>12</v>
      </c>
      <c r="B7" s="6">
        <v>565.0</v>
      </c>
      <c r="C7" s="6">
        <v>934.0</v>
      </c>
      <c r="D7" s="6">
        <v>553.0</v>
      </c>
      <c r="E7" s="6">
        <v>300.0</v>
      </c>
      <c r="F7" s="7"/>
      <c r="G7" s="7"/>
      <c r="J7" s="4" t="s">
        <v>12</v>
      </c>
      <c r="K7" s="6">
        <v>29.5</v>
      </c>
      <c r="L7" s="6">
        <v>51.0</v>
      </c>
      <c r="M7" s="6">
        <v>19.5</v>
      </c>
      <c r="N7" s="6">
        <v>17.0</v>
      </c>
      <c r="O7" s="7"/>
    </row>
    <row r="8">
      <c r="A8" s="4" t="s">
        <v>13</v>
      </c>
      <c r="B8" s="5">
        <v>549.0</v>
      </c>
      <c r="C8" s="5">
        <v>1285.0</v>
      </c>
      <c r="D8" s="5">
        <v>463.0</v>
      </c>
      <c r="E8" s="5">
        <v>252.0</v>
      </c>
      <c r="F8" s="5"/>
      <c r="G8" s="5"/>
      <c r="J8" s="4" t="s">
        <v>13</v>
      </c>
      <c r="K8" s="5">
        <v>25.9</v>
      </c>
      <c r="L8" s="5">
        <v>67.0</v>
      </c>
      <c r="M8" s="5">
        <v>33.4</v>
      </c>
      <c r="N8" s="5">
        <v>11.0</v>
      </c>
      <c r="O8" s="5"/>
    </row>
    <row r="12">
      <c r="A12" s="1" t="s">
        <v>14</v>
      </c>
      <c r="B12" s="2" t="s">
        <v>1</v>
      </c>
      <c r="C12" s="2" t="s">
        <v>2</v>
      </c>
      <c r="D12" s="2" t="s">
        <v>3</v>
      </c>
      <c r="E12" s="2" t="s">
        <v>4</v>
      </c>
      <c r="F12" s="2"/>
      <c r="G12" s="2" t="s">
        <v>5</v>
      </c>
      <c r="J12" s="1" t="s">
        <v>15</v>
      </c>
      <c r="K12" s="2" t="s">
        <v>1</v>
      </c>
      <c r="L12" s="2" t="s">
        <v>2</v>
      </c>
      <c r="M12" s="2" t="s">
        <v>3</v>
      </c>
      <c r="N12" s="2" t="s">
        <v>4</v>
      </c>
      <c r="O12" s="2" t="s">
        <v>5</v>
      </c>
    </row>
    <row r="13">
      <c r="A13" s="4" t="s">
        <v>7</v>
      </c>
      <c r="B13" s="5">
        <v>8.3</v>
      </c>
      <c r="C13" s="5">
        <v>17.3</v>
      </c>
      <c r="D13" s="5">
        <v>18.3</v>
      </c>
      <c r="E13" s="5">
        <v>1.3</v>
      </c>
      <c r="F13" s="5"/>
      <c r="G13" s="5"/>
      <c r="J13" s="4" t="s">
        <v>7</v>
      </c>
      <c r="K13" s="5">
        <v>49.3</v>
      </c>
      <c r="L13" s="5">
        <v>127.5</v>
      </c>
      <c r="M13" s="5">
        <v>111.0</v>
      </c>
      <c r="N13" s="5">
        <v>46.3</v>
      </c>
      <c r="O13" s="5"/>
    </row>
    <row r="14">
      <c r="A14" s="4" t="s">
        <v>8</v>
      </c>
      <c r="B14" s="6">
        <v>8.9</v>
      </c>
      <c r="C14" s="6">
        <v>37.3</v>
      </c>
      <c r="D14" s="6">
        <v>22.1</v>
      </c>
      <c r="E14" s="6">
        <v>9.7</v>
      </c>
      <c r="F14" s="6"/>
      <c r="G14" s="6"/>
      <c r="J14" s="4" t="s">
        <v>8</v>
      </c>
      <c r="K14" s="6">
        <v>50.6</v>
      </c>
      <c r="L14" s="6">
        <v>118.5</v>
      </c>
      <c r="M14" s="6">
        <v>111.0</v>
      </c>
      <c r="N14" s="6">
        <v>27.6</v>
      </c>
      <c r="O14" s="6"/>
    </row>
    <row r="15">
      <c r="A15" s="4" t="s">
        <v>9</v>
      </c>
      <c r="B15" s="5">
        <v>8.0</v>
      </c>
      <c r="C15" s="5">
        <v>59.2</v>
      </c>
      <c r="D15" s="5">
        <v>3.5</v>
      </c>
      <c r="E15" s="5">
        <v>1.0</v>
      </c>
      <c r="F15" s="5"/>
      <c r="G15" s="8"/>
      <c r="J15" s="4" t="s">
        <v>9</v>
      </c>
      <c r="K15" s="5">
        <v>38.1</v>
      </c>
      <c r="L15" s="5">
        <v>106.7</v>
      </c>
      <c r="M15" s="5">
        <v>20.1</v>
      </c>
      <c r="N15" s="5">
        <v>51.0</v>
      </c>
      <c r="O15" s="8"/>
    </row>
    <row r="16">
      <c r="A16" s="4" t="s">
        <v>10</v>
      </c>
      <c r="B16" s="6">
        <v>9.6</v>
      </c>
      <c r="C16" s="6">
        <v>22.8</v>
      </c>
      <c r="D16" s="6">
        <v>14.8</v>
      </c>
      <c r="E16" s="6">
        <v>3.6</v>
      </c>
      <c r="F16" s="6"/>
      <c r="G16" s="6"/>
      <c r="J16" s="4" t="s">
        <v>10</v>
      </c>
      <c r="K16" s="6">
        <v>50.9</v>
      </c>
      <c r="L16" s="6">
        <v>146.7</v>
      </c>
      <c r="M16" s="6">
        <v>90.2</v>
      </c>
      <c r="N16" s="6">
        <v>23.5</v>
      </c>
      <c r="O16" s="6"/>
    </row>
    <row r="17">
      <c r="A17" s="4" t="s">
        <v>11</v>
      </c>
      <c r="B17" s="5">
        <v>8.2</v>
      </c>
      <c r="C17" s="5">
        <v>32.4</v>
      </c>
      <c r="D17" s="5">
        <v>55.0</v>
      </c>
      <c r="E17" s="5">
        <v>0.6</v>
      </c>
      <c r="F17" s="5"/>
      <c r="G17" s="5"/>
      <c r="J17" s="4" t="s">
        <v>11</v>
      </c>
      <c r="K17" s="5">
        <v>55.3</v>
      </c>
      <c r="L17" s="5">
        <v>80.7</v>
      </c>
      <c r="M17" s="5">
        <v>146.0</v>
      </c>
      <c r="N17" s="5">
        <v>15.8</v>
      </c>
      <c r="O17" s="5"/>
    </row>
    <row r="18">
      <c r="A18" s="4" t="s">
        <v>12</v>
      </c>
      <c r="B18" s="6">
        <v>13.5</v>
      </c>
      <c r="C18" s="6">
        <v>20.1</v>
      </c>
      <c r="D18" s="6">
        <v>9.6</v>
      </c>
      <c r="E18" s="6">
        <v>18.0</v>
      </c>
      <c r="F18" s="7"/>
      <c r="G18" s="7"/>
      <c r="J18" s="4" t="s">
        <v>12</v>
      </c>
      <c r="K18" s="6">
        <v>75.4</v>
      </c>
      <c r="L18" s="6">
        <v>133.1</v>
      </c>
      <c r="M18" s="6">
        <v>98.3</v>
      </c>
      <c r="N18" s="6">
        <v>13.0</v>
      </c>
      <c r="O18" s="7"/>
    </row>
    <row r="19">
      <c r="A19" s="4" t="s">
        <v>13</v>
      </c>
      <c r="B19" s="5">
        <v>9.9</v>
      </c>
      <c r="C19" s="5">
        <v>60.0</v>
      </c>
      <c r="D19" s="5">
        <v>9.6</v>
      </c>
      <c r="E19" s="5">
        <v>11.4</v>
      </c>
      <c r="F19" s="5"/>
      <c r="G19" s="5"/>
      <c r="J19" s="4" t="s">
        <v>13</v>
      </c>
      <c r="K19" s="5">
        <v>86.2</v>
      </c>
      <c r="L19" s="5">
        <v>117.0</v>
      </c>
      <c r="M19" s="5">
        <v>59.8</v>
      </c>
      <c r="N19" s="5">
        <v>29.9</v>
      </c>
      <c r="O19" s="5"/>
    </row>
    <row r="22">
      <c r="A22" s="9"/>
      <c r="B22" s="9"/>
      <c r="C22" s="9"/>
      <c r="D22" s="9"/>
      <c r="E22" s="9"/>
      <c r="F22" s="9"/>
      <c r="G22" s="9"/>
      <c r="H22" s="9"/>
      <c r="I22" s="9"/>
      <c r="J22" s="10"/>
      <c r="K22" s="10"/>
      <c r="L22" s="10"/>
      <c r="M22" s="10"/>
      <c r="N22" s="9"/>
      <c r="O22" s="9"/>
    </row>
    <row r="23">
      <c r="A23" s="11" t="s">
        <v>16</v>
      </c>
      <c r="B23" s="12">
        <v>56.35</v>
      </c>
      <c r="C23" s="9"/>
      <c r="D23" s="9"/>
      <c r="E23" s="13"/>
      <c r="F23" s="13"/>
      <c r="G23" s="13"/>
      <c r="H23" s="13"/>
      <c r="J23" s="14" t="s">
        <v>17</v>
      </c>
      <c r="K23" s="14" t="s">
        <v>6</v>
      </c>
      <c r="L23" s="14" t="s">
        <v>14</v>
      </c>
      <c r="M23" s="15" t="s">
        <v>18</v>
      </c>
      <c r="N23" s="13"/>
      <c r="O23" s="13"/>
      <c r="P23" s="9"/>
    </row>
    <row r="24">
      <c r="A24" s="11" t="s">
        <v>19</v>
      </c>
      <c r="B24" s="16">
        <v>56.85</v>
      </c>
      <c r="C24" s="9"/>
      <c r="D24" s="14" t="s">
        <v>20</v>
      </c>
      <c r="E24" s="14" t="s">
        <v>21</v>
      </c>
      <c r="F24" s="14"/>
      <c r="G24" s="14" t="s">
        <v>22</v>
      </c>
      <c r="H24" s="9"/>
      <c r="J24" s="14" t="s">
        <v>7</v>
      </c>
      <c r="K24" s="17">
        <f t="shared" ref="K24:K30" si="1">SUM(K2:O2)</f>
        <v>112.9</v>
      </c>
      <c r="L24" s="17">
        <f t="shared" ref="L24:L30" si="2">SUM(B13:G13)</f>
        <v>45.2</v>
      </c>
      <c r="M24" s="17">
        <f t="shared" ref="M24:M30" si="3">SUM(K13:O13)</f>
        <v>334.1</v>
      </c>
      <c r="N24" s="13"/>
      <c r="O24" s="9"/>
      <c r="P24" s="9"/>
    </row>
    <row r="25">
      <c r="A25" s="16" t="s">
        <v>23</v>
      </c>
      <c r="B25" s="11">
        <f>B24-B23</f>
        <v>0.5</v>
      </c>
      <c r="C25" s="9"/>
      <c r="D25" s="14" t="s">
        <v>24</v>
      </c>
      <c r="E25" s="18">
        <f>B23*0.8</f>
        <v>45.08</v>
      </c>
      <c r="F25" s="18"/>
      <c r="G25" s="18">
        <f>B23*1</f>
        <v>56.35</v>
      </c>
      <c r="H25" s="13"/>
      <c r="J25" s="14" t="s">
        <v>8</v>
      </c>
      <c r="K25" s="17">
        <f t="shared" si="1"/>
        <v>144.1</v>
      </c>
      <c r="L25" s="17">
        <f t="shared" si="2"/>
        <v>78</v>
      </c>
      <c r="M25" s="17">
        <f t="shared" si="3"/>
        <v>307.7</v>
      </c>
      <c r="N25" s="13"/>
      <c r="O25" s="9"/>
      <c r="P25" s="9"/>
    </row>
    <row r="26">
      <c r="A26" s="9"/>
      <c r="B26" s="9"/>
      <c r="C26" s="9"/>
      <c r="D26" s="14" t="s">
        <v>25</v>
      </c>
      <c r="E26" s="19">
        <f>B23*1.8</f>
        <v>101.43</v>
      </c>
      <c r="F26" s="19"/>
      <c r="G26" s="19">
        <f>B23*2.2</f>
        <v>123.97</v>
      </c>
      <c r="H26" s="13"/>
      <c r="J26" s="14" t="s">
        <v>9</v>
      </c>
      <c r="K26" s="17">
        <f t="shared" si="1"/>
        <v>117.7</v>
      </c>
      <c r="L26" s="17">
        <f t="shared" si="2"/>
        <v>71.7</v>
      </c>
      <c r="M26" s="17">
        <f t="shared" si="3"/>
        <v>215.9</v>
      </c>
      <c r="N26" s="13"/>
      <c r="O26" s="9"/>
      <c r="P26" s="9"/>
    </row>
    <row r="27">
      <c r="A27" s="9"/>
      <c r="B27" s="9"/>
      <c r="D27" s="14" t="s">
        <v>26</v>
      </c>
      <c r="E27" s="20" t="s">
        <v>7</v>
      </c>
      <c r="F27" s="20"/>
      <c r="G27" s="18">
        <f>(P33-(G26*4)-(G25*9))/4</f>
        <v>273.68</v>
      </c>
      <c r="H27" s="18">
        <f>(P33-(E26*4)-(E25*9))/4</f>
        <v>321.5775</v>
      </c>
      <c r="J27" s="14" t="s">
        <v>10</v>
      </c>
      <c r="K27" s="17">
        <f t="shared" si="1"/>
        <v>138.6</v>
      </c>
      <c r="L27" s="17">
        <f t="shared" si="2"/>
        <v>50.8</v>
      </c>
      <c r="M27" s="17">
        <f t="shared" si="3"/>
        <v>311.3</v>
      </c>
      <c r="N27" s="13"/>
      <c r="O27" s="9"/>
      <c r="P27" s="9"/>
    </row>
    <row r="28">
      <c r="A28" s="9"/>
      <c r="B28" s="9"/>
      <c r="D28" s="9"/>
      <c r="E28" s="15" t="s">
        <v>8</v>
      </c>
      <c r="F28" s="15"/>
      <c r="G28" s="19">
        <f>(P34-(G26*4)-(G25*9))/4</f>
        <v>251.68</v>
      </c>
      <c r="H28" s="19">
        <f>(P34-(E26*4)-(E25*9))/4</f>
        <v>299.5775</v>
      </c>
      <c r="J28" s="14" t="s">
        <v>11</v>
      </c>
      <c r="K28" s="17">
        <f t="shared" si="1"/>
        <v>172.2</v>
      </c>
      <c r="L28" s="17">
        <f t="shared" si="2"/>
        <v>96.2</v>
      </c>
      <c r="M28" s="17">
        <f t="shared" si="3"/>
        <v>297.8</v>
      </c>
      <c r="N28" s="13"/>
      <c r="O28" s="9"/>
      <c r="P28" s="9"/>
    </row>
    <row r="29">
      <c r="A29" s="9"/>
      <c r="B29" s="9"/>
      <c r="D29" s="9"/>
      <c r="E29" s="20" t="s">
        <v>9</v>
      </c>
      <c r="F29" s="20"/>
      <c r="G29" s="18">
        <f>(P35-(G26*4)-(G25*9))/4</f>
        <v>233.43</v>
      </c>
      <c r="H29" s="18">
        <f>(P35-(E26*4)-(E25*9))/4</f>
        <v>281.3275</v>
      </c>
      <c r="J29" s="14" t="s">
        <v>12</v>
      </c>
      <c r="K29" s="17">
        <f t="shared" si="1"/>
        <v>117</v>
      </c>
      <c r="L29" s="17">
        <f t="shared" si="2"/>
        <v>61.2</v>
      </c>
      <c r="M29" s="17">
        <f t="shared" si="3"/>
        <v>319.8</v>
      </c>
      <c r="N29" s="13"/>
      <c r="O29" s="13"/>
      <c r="P29" s="9"/>
    </row>
    <row r="30">
      <c r="A30" s="9"/>
      <c r="B30" s="9"/>
      <c r="D30" s="9"/>
      <c r="E30" s="15" t="s">
        <v>10</v>
      </c>
      <c r="F30" s="15"/>
      <c r="G30" s="19">
        <f>(P36-(G26*4)-(G25*9))/4</f>
        <v>315.18</v>
      </c>
      <c r="H30" s="19">
        <f>(P36-(E26*4)-(E25*9))/4</f>
        <v>363.0775</v>
      </c>
      <c r="J30" s="14" t="s">
        <v>13</v>
      </c>
      <c r="K30" s="17">
        <f t="shared" si="1"/>
        <v>137.3</v>
      </c>
      <c r="L30" s="17">
        <f t="shared" si="2"/>
        <v>90.9</v>
      </c>
      <c r="M30" s="17">
        <f t="shared" si="3"/>
        <v>292.9</v>
      </c>
      <c r="N30" s="13"/>
      <c r="O30" s="13"/>
      <c r="P30" s="9"/>
    </row>
    <row r="31">
      <c r="A31" s="9"/>
      <c r="B31" s="9"/>
      <c r="D31" s="9"/>
      <c r="E31" s="15" t="s">
        <v>11</v>
      </c>
      <c r="F31" s="15"/>
      <c r="G31" s="18">
        <f>(P37-(G26*4)-(G25*9))/4</f>
        <v>231.93</v>
      </c>
      <c r="H31" s="18">
        <f>(P37-(E26*4)-(E25*9))/4</f>
        <v>279.8275</v>
      </c>
      <c r="J31" s="21"/>
      <c r="K31" s="22"/>
      <c r="L31" s="10"/>
      <c r="M31" s="10"/>
      <c r="N31" s="10"/>
      <c r="O31" s="10"/>
      <c r="P31" s="10"/>
    </row>
    <row r="32">
      <c r="A32" s="9"/>
      <c r="B32" s="9"/>
      <c r="D32" s="9"/>
      <c r="E32" s="20" t="s">
        <v>27</v>
      </c>
      <c r="F32" s="20"/>
      <c r="G32" s="19">
        <f>(P38-(G26*4)-(G25*9))/4</f>
        <v>318.18</v>
      </c>
      <c r="H32" s="19">
        <f>(P38-(E26*4)-(E25*9))/4</f>
        <v>366.0775</v>
      </c>
      <c r="J32" s="14" t="s">
        <v>0</v>
      </c>
      <c r="K32" s="14" t="s">
        <v>28</v>
      </c>
      <c r="L32" s="14" t="s">
        <v>29</v>
      </c>
      <c r="M32" s="23" t="s">
        <v>30</v>
      </c>
      <c r="N32" s="23" t="s">
        <v>31</v>
      </c>
      <c r="O32" s="15" t="s">
        <v>32</v>
      </c>
      <c r="P32" s="15" t="s">
        <v>33</v>
      </c>
    </row>
    <row r="33">
      <c r="A33" s="9"/>
      <c r="B33" s="9"/>
      <c r="D33" s="9"/>
      <c r="E33" s="20" t="s">
        <v>13</v>
      </c>
      <c r="F33" s="20"/>
      <c r="G33" s="18">
        <f>(P39-(G26*4)-(G25*9))/4</f>
        <v>297.43</v>
      </c>
      <c r="H33" s="18">
        <f>(P39-(E26*4)-(E25*9))/4</f>
        <v>345.3275</v>
      </c>
      <c r="J33" s="14" t="s">
        <v>7</v>
      </c>
      <c r="K33" s="24">
        <f t="shared" ref="K33:K39" si="4">SUM(B2:G2)</f>
        <v>2169</v>
      </c>
      <c r="L33" s="25">
        <v>478.0</v>
      </c>
      <c r="M33" s="24">
        <f>E36</f>
        <v>1469.75</v>
      </c>
      <c r="N33" s="26">
        <f t="shared" ref="N33:N39" si="5">SUM(L33:M33)</f>
        <v>1947.75</v>
      </c>
      <c r="O33" s="27">
        <f t="shared" ref="O33:O39" si="6">K33-N33</f>
        <v>221.25</v>
      </c>
      <c r="P33" s="19">
        <f t="shared" ref="P33:P39" si="7">N33+150</f>
        <v>2097.75</v>
      </c>
    </row>
    <row r="34">
      <c r="A34" s="9"/>
      <c r="B34" s="9"/>
      <c r="C34" s="9"/>
      <c r="D34" s="9"/>
      <c r="E34" s="9"/>
      <c r="F34" s="9"/>
      <c r="G34" s="9"/>
      <c r="H34" s="9"/>
      <c r="J34" s="14" t="s">
        <v>8</v>
      </c>
      <c r="K34" s="19">
        <f t="shared" si="4"/>
        <v>2546</v>
      </c>
      <c r="L34" s="28">
        <v>390.0</v>
      </c>
      <c r="M34" s="24">
        <f>E36</f>
        <v>1469.75</v>
      </c>
      <c r="N34" s="26">
        <f t="shared" si="5"/>
        <v>1859.75</v>
      </c>
      <c r="O34" s="27">
        <f t="shared" si="6"/>
        <v>686.25</v>
      </c>
      <c r="P34" s="19">
        <f t="shared" si="7"/>
        <v>2009.75</v>
      </c>
    </row>
    <row r="35">
      <c r="A35" s="9"/>
      <c r="B35" s="9"/>
      <c r="C35" s="9"/>
      <c r="D35" s="9"/>
      <c r="E35" s="9"/>
      <c r="F35" s="9"/>
      <c r="G35" s="9"/>
      <c r="H35" s="9"/>
      <c r="J35" s="14" t="s">
        <v>9</v>
      </c>
      <c r="K35" s="24">
        <f t="shared" si="4"/>
        <v>2061</v>
      </c>
      <c r="L35" s="25">
        <v>317.0</v>
      </c>
      <c r="M35" s="24">
        <f>E36</f>
        <v>1469.75</v>
      </c>
      <c r="N35" s="26">
        <f t="shared" si="5"/>
        <v>1786.75</v>
      </c>
      <c r="O35" s="27">
        <f t="shared" si="6"/>
        <v>274.25</v>
      </c>
      <c r="P35" s="19">
        <f t="shared" si="7"/>
        <v>1936.75</v>
      </c>
    </row>
    <row r="36">
      <c r="A36" s="9"/>
      <c r="B36" s="9"/>
      <c r="C36" s="9"/>
      <c r="D36" s="15" t="s">
        <v>34</v>
      </c>
      <c r="E36" s="19">
        <f>(10*B23)+(6.25*165)-(5*26)+5</f>
        <v>1469.75</v>
      </c>
      <c r="F36" s="19"/>
      <c r="G36" s="9"/>
      <c r="H36" s="9"/>
      <c r="J36" s="14" t="s">
        <v>10</v>
      </c>
      <c r="K36" s="19">
        <f t="shared" si="4"/>
        <v>2304</v>
      </c>
      <c r="L36" s="29">
        <v>644.0</v>
      </c>
      <c r="M36" s="24">
        <f>E36</f>
        <v>1469.75</v>
      </c>
      <c r="N36" s="26">
        <f t="shared" si="5"/>
        <v>2113.75</v>
      </c>
      <c r="O36" s="27">
        <f t="shared" si="6"/>
        <v>190.25</v>
      </c>
      <c r="P36" s="19">
        <f t="shared" si="7"/>
        <v>2263.75</v>
      </c>
    </row>
    <row r="37">
      <c r="A37" s="9"/>
      <c r="B37" s="9"/>
      <c r="C37" s="9"/>
      <c r="D37" s="9"/>
      <c r="E37" s="9"/>
      <c r="F37" s="9"/>
      <c r="G37" s="9"/>
      <c r="H37" s="9"/>
      <c r="J37" s="14" t="s">
        <v>11</v>
      </c>
      <c r="K37" s="24">
        <f t="shared" si="4"/>
        <v>2861</v>
      </c>
      <c r="L37" s="30">
        <v>311.0</v>
      </c>
      <c r="M37" s="24">
        <f>E36</f>
        <v>1469.75</v>
      </c>
      <c r="N37" s="26">
        <f t="shared" si="5"/>
        <v>1780.75</v>
      </c>
      <c r="O37" s="27">
        <f t="shared" si="6"/>
        <v>1080.25</v>
      </c>
      <c r="P37" s="19">
        <f t="shared" si="7"/>
        <v>1930.75</v>
      </c>
    </row>
    <row r="38">
      <c r="A38" s="9"/>
      <c r="B38" s="9"/>
      <c r="C38" s="9"/>
      <c r="D38" s="9"/>
      <c r="E38" s="9"/>
      <c r="F38" s="9"/>
      <c r="G38" s="9"/>
      <c r="H38" s="9"/>
      <c r="J38" s="14" t="s">
        <v>12</v>
      </c>
      <c r="K38" s="19">
        <f t="shared" si="4"/>
        <v>2352</v>
      </c>
      <c r="L38" s="29">
        <v>656.0</v>
      </c>
      <c r="M38" s="24">
        <f>E36</f>
        <v>1469.75</v>
      </c>
      <c r="N38" s="26">
        <f t="shared" si="5"/>
        <v>2125.75</v>
      </c>
      <c r="O38" s="27">
        <f t="shared" si="6"/>
        <v>226.25</v>
      </c>
      <c r="P38" s="19">
        <f t="shared" si="7"/>
        <v>2275.75</v>
      </c>
    </row>
    <row r="39">
      <c r="A39" s="9"/>
      <c r="B39" s="9"/>
      <c r="C39" s="9"/>
      <c r="D39" s="9"/>
      <c r="E39" s="9"/>
      <c r="F39" s="9"/>
      <c r="G39" s="9"/>
      <c r="H39" s="9"/>
      <c r="J39" s="14" t="s">
        <v>13</v>
      </c>
      <c r="K39" s="24">
        <f t="shared" si="4"/>
        <v>2549</v>
      </c>
      <c r="L39" s="30">
        <v>573.0</v>
      </c>
      <c r="M39" s="24">
        <f>E36</f>
        <v>1469.75</v>
      </c>
      <c r="N39" s="24">
        <f t="shared" si="5"/>
        <v>2042.75</v>
      </c>
      <c r="O39" s="27">
        <f t="shared" si="6"/>
        <v>506.25</v>
      </c>
      <c r="P39" s="19">
        <f t="shared" si="7"/>
        <v>2192.75</v>
      </c>
    </row>
    <row r="40">
      <c r="A40" s="9"/>
      <c r="B40" s="9"/>
      <c r="C40" s="9"/>
      <c r="D40" s="9"/>
      <c r="E40" s="9"/>
      <c r="F40" s="9"/>
      <c r="G40" s="9"/>
      <c r="H40" s="9"/>
      <c r="J40" s="15" t="s">
        <v>35</v>
      </c>
      <c r="K40" s="9"/>
      <c r="L40" s="9"/>
      <c r="M40" s="9"/>
      <c r="N40" s="9"/>
      <c r="O40" s="31">
        <f>SUM(O33:O39)</f>
        <v>3184.75</v>
      </c>
      <c r="P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>
      <c r="E42" s="32"/>
      <c r="F42" s="32"/>
      <c r="G42" s="32"/>
    </row>
    <row r="43">
      <c r="E43" s="32"/>
      <c r="F43" s="32"/>
      <c r="G43" s="32"/>
    </row>
  </sheetData>
  <conditionalFormatting sqref="L24:L30">
    <cfRule type="expression" dxfId="4" priority="1">
      <formula>AND(L24&gt;=$E$25,L24&lt;=$G$25)</formula>
    </cfRule>
  </conditionalFormatting>
  <conditionalFormatting sqref="N23:N29">
    <cfRule type="colorScale" priority="2">
      <colorScale>
        <cfvo type="formula" val="200"/>
        <cfvo type="formula" val="300"/>
        <cfvo type="formula" val="400"/>
        <color rgb="FFFF0000"/>
        <color rgb="FF00FF00"/>
        <color rgb="FFFF0000"/>
      </colorScale>
    </cfRule>
  </conditionalFormatting>
  <conditionalFormatting sqref="O33:O39">
    <cfRule type="colorScale" priority="3">
      <colorScale>
        <cfvo type="formula" val="0"/>
        <cfvo type="formula" val="200"/>
        <cfvo type="formula" val="400"/>
        <color rgb="FFFF0000"/>
        <color rgb="FF00FF00"/>
        <color rgb="FFFF0000"/>
      </colorScale>
    </cfRule>
  </conditionalFormatting>
  <conditionalFormatting sqref="K24:K30">
    <cfRule type="expression" dxfId="4" priority="4">
      <formula>AND(K24&gt;=$E$26,K24&lt;=$G$26)</formula>
    </cfRule>
  </conditionalFormatting>
  <conditionalFormatting sqref="M24">
    <cfRule type="expression" dxfId="5" priority="5">
      <formula>AND(M24&gt;=$G$27,M24&lt;=$H$27)</formula>
    </cfRule>
  </conditionalFormatting>
  <conditionalFormatting sqref="B25">
    <cfRule type="colorScale" priority="6">
      <colorScale>
        <cfvo type="formula" val="0"/>
        <cfvo type="formula" val="0.15"/>
        <cfvo type="formula" val="0.3"/>
        <color rgb="FFFF0000"/>
        <color rgb="FF00FF00"/>
        <color rgb="FFFF0000"/>
      </colorScale>
    </cfRule>
  </conditionalFormatting>
  <conditionalFormatting sqref="M25">
    <cfRule type="expression" dxfId="5" priority="7">
      <formula>AND(M25&gt;=$G$28,M25&lt;=$H$28)</formula>
    </cfRule>
  </conditionalFormatting>
  <conditionalFormatting sqref="M26">
    <cfRule type="expression" dxfId="5" priority="8">
      <formula>AND(M26&gt;=$G$29,M26&lt;=$H$29)</formula>
    </cfRule>
  </conditionalFormatting>
  <conditionalFormatting sqref="M27">
    <cfRule type="expression" dxfId="5" priority="9">
      <formula>AND(M27&gt;=$G$30,M27&lt;=$H$30)</formula>
    </cfRule>
  </conditionalFormatting>
  <conditionalFormatting sqref="M28">
    <cfRule type="expression" dxfId="5" priority="10">
      <formula>AND(M28&gt;=$G$31,M28&lt;=$H$31)</formula>
    </cfRule>
  </conditionalFormatting>
  <conditionalFormatting sqref="M29">
    <cfRule type="expression" dxfId="5" priority="11">
      <formula>AND(M29&gt;=$G$32,M29&lt;=$H$32)</formula>
    </cfRule>
  </conditionalFormatting>
  <conditionalFormatting sqref="M30">
    <cfRule type="expression" dxfId="5" priority="12">
      <formula>AND(M30&gt;=$G$33,M30&lt;=$H$33)</formula>
    </cfRule>
  </conditionalFormatting>
  <conditionalFormatting sqref="K24:K30">
    <cfRule type="expression" dxfId="6" priority="13">
      <formula>AND(K24&gt;$B$23*2.2,K24&lt;$B$23*2.5)</formula>
    </cfRule>
  </conditionalFormatting>
  <conditionalFormatting sqref="L24:L30">
    <cfRule type="expression" dxfId="7" priority="14">
      <formula>AND(L24&gt;$B$23*1,L24&lt;$B$23*1.2)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36</v>
      </c>
      <c r="G1" s="2" t="s">
        <v>5</v>
      </c>
      <c r="J1" s="1" t="s">
        <v>6</v>
      </c>
      <c r="K1" s="3" t="s">
        <v>1</v>
      </c>
      <c r="L1" s="2" t="s">
        <v>2</v>
      </c>
      <c r="M1" s="2" t="s">
        <v>3</v>
      </c>
      <c r="N1" s="2" t="s">
        <v>4</v>
      </c>
      <c r="O1" s="2" t="s">
        <v>36</v>
      </c>
      <c r="P1" s="2" t="s">
        <v>5</v>
      </c>
    </row>
    <row r="2">
      <c r="A2" s="4" t="s">
        <v>7</v>
      </c>
      <c r="B2" s="5">
        <v>420.0</v>
      </c>
      <c r="C2" s="5">
        <v>1072.0</v>
      </c>
      <c r="D2" s="5">
        <v>213.0</v>
      </c>
      <c r="E2" s="5">
        <v>312.0</v>
      </c>
      <c r="F2" s="5"/>
      <c r="G2" s="5"/>
      <c r="J2" s="4" t="s">
        <v>7</v>
      </c>
      <c r="K2" s="5">
        <v>25.7</v>
      </c>
      <c r="L2" s="5">
        <v>60.5</v>
      </c>
      <c r="M2" s="5">
        <v>23.1</v>
      </c>
      <c r="N2" s="5">
        <v>7.1</v>
      </c>
      <c r="O2" s="5"/>
      <c r="P2" s="5"/>
    </row>
    <row r="3">
      <c r="A3" s="4" t="s">
        <v>8</v>
      </c>
      <c r="B3" s="6">
        <v>762.0</v>
      </c>
      <c r="C3" s="6">
        <v>1034.0</v>
      </c>
      <c r="D3" s="6">
        <v>261.0</v>
      </c>
      <c r="E3" s="6"/>
      <c r="F3" s="6"/>
      <c r="G3" s="6"/>
      <c r="J3" s="4" t="s">
        <v>8</v>
      </c>
      <c r="K3" s="6">
        <v>27.9</v>
      </c>
      <c r="L3" s="6">
        <v>66.2</v>
      </c>
      <c r="M3" s="6">
        <v>13.3</v>
      </c>
      <c r="N3" s="6"/>
      <c r="O3" s="6"/>
      <c r="P3" s="6"/>
    </row>
    <row r="4">
      <c r="A4" s="4" t="s">
        <v>9</v>
      </c>
      <c r="B4" s="5">
        <v>537.0</v>
      </c>
      <c r="C4" s="5">
        <v>917.0</v>
      </c>
      <c r="D4" s="5">
        <v>680.0</v>
      </c>
      <c r="E4" s="5">
        <v>156.0</v>
      </c>
      <c r="F4" s="5"/>
      <c r="G4" s="8"/>
      <c r="J4" s="4" t="s">
        <v>9</v>
      </c>
      <c r="K4" s="5">
        <v>27.4</v>
      </c>
      <c r="L4" s="5">
        <v>63.0</v>
      </c>
      <c r="M4" s="5">
        <v>21.6</v>
      </c>
      <c r="N4" s="5">
        <v>4.8</v>
      </c>
      <c r="O4" s="5"/>
      <c r="P4" s="8"/>
    </row>
    <row r="5">
      <c r="A5" s="4" t="s">
        <v>10</v>
      </c>
      <c r="B5" s="6">
        <v>579.0</v>
      </c>
      <c r="C5" s="6">
        <v>746.0</v>
      </c>
      <c r="D5" s="6">
        <v>432.0</v>
      </c>
      <c r="E5" s="6">
        <v>331.0</v>
      </c>
      <c r="F5" s="6"/>
      <c r="G5" s="6"/>
      <c r="J5" s="4" t="s">
        <v>10</v>
      </c>
      <c r="K5" s="6">
        <v>29.5</v>
      </c>
      <c r="L5" s="6">
        <v>54.6</v>
      </c>
      <c r="M5" s="6">
        <v>15.4</v>
      </c>
      <c r="N5" s="6">
        <v>8.7</v>
      </c>
      <c r="O5" s="6"/>
      <c r="P5" s="6"/>
    </row>
    <row r="6">
      <c r="A6" s="4" t="s">
        <v>11</v>
      </c>
      <c r="B6" s="5">
        <v>324.0</v>
      </c>
      <c r="C6" s="5">
        <v>1005.0</v>
      </c>
      <c r="D6" s="5">
        <v>993.0</v>
      </c>
      <c r="E6" s="5">
        <v>475.0</v>
      </c>
      <c r="F6" s="5">
        <v>42.0</v>
      </c>
      <c r="G6" s="5"/>
      <c r="J6" s="4" t="s">
        <v>11</v>
      </c>
      <c r="K6" s="5">
        <v>6.9</v>
      </c>
      <c r="L6" s="5">
        <v>61.7</v>
      </c>
      <c r="M6" s="5">
        <v>42.5</v>
      </c>
      <c r="N6" s="5">
        <v>25.1</v>
      </c>
      <c r="O6" s="5">
        <v>0.7</v>
      </c>
      <c r="P6" s="5"/>
    </row>
    <row r="7">
      <c r="A7" s="4" t="s">
        <v>12</v>
      </c>
      <c r="B7" s="6">
        <v>485.0</v>
      </c>
      <c r="C7" s="6">
        <v>1356.0</v>
      </c>
      <c r="D7" s="6">
        <v>1840.0</v>
      </c>
      <c r="E7" s="6"/>
      <c r="F7" s="6">
        <v>53.0</v>
      </c>
      <c r="G7" s="7"/>
      <c r="J7" s="4" t="s">
        <v>12</v>
      </c>
      <c r="K7" s="6">
        <v>23.7</v>
      </c>
      <c r="L7" s="6">
        <v>69.3</v>
      </c>
      <c r="M7" s="6">
        <v>94.0</v>
      </c>
      <c r="N7" s="6"/>
      <c r="O7" s="6">
        <v>1.1</v>
      </c>
      <c r="P7" s="7"/>
    </row>
    <row r="8">
      <c r="A8" s="4" t="s">
        <v>13</v>
      </c>
      <c r="B8" s="5">
        <v>607.0</v>
      </c>
      <c r="C8" s="5">
        <v>941.0</v>
      </c>
      <c r="D8" s="5">
        <v>141.0</v>
      </c>
      <c r="E8" s="5">
        <v>252.0</v>
      </c>
      <c r="F8" s="5">
        <v>177.0</v>
      </c>
      <c r="G8" s="5"/>
      <c r="J8" s="4" t="s">
        <v>13</v>
      </c>
      <c r="K8" s="5">
        <v>26.2</v>
      </c>
      <c r="L8" s="5">
        <v>47.6</v>
      </c>
      <c r="M8" s="5">
        <v>33.0</v>
      </c>
      <c r="N8" s="5">
        <v>9.0</v>
      </c>
      <c r="O8" s="5">
        <v>4.6</v>
      </c>
      <c r="P8" s="5"/>
    </row>
    <row r="12">
      <c r="A12" s="1" t="s">
        <v>14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36</v>
      </c>
      <c r="G12" s="2" t="s">
        <v>5</v>
      </c>
      <c r="J12" s="1" t="s">
        <v>15</v>
      </c>
      <c r="K12" s="2" t="s">
        <v>1</v>
      </c>
      <c r="L12" s="2" t="s">
        <v>2</v>
      </c>
      <c r="M12" s="2" t="s">
        <v>3</v>
      </c>
      <c r="N12" s="2" t="s">
        <v>4</v>
      </c>
      <c r="O12" s="2" t="s">
        <v>36</v>
      </c>
      <c r="P12" s="2" t="s">
        <v>5</v>
      </c>
    </row>
    <row r="13">
      <c r="A13" s="4" t="s">
        <v>7</v>
      </c>
      <c r="B13" s="5">
        <v>7.9</v>
      </c>
      <c r="C13" s="5">
        <v>26.9</v>
      </c>
      <c r="D13" s="5">
        <v>2.2</v>
      </c>
      <c r="E13" s="5">
        <v>1.1</v>
      </c>
      <c r="F13" s="5"/>
      <c r="G13" s="5"/>
      <c r="J13" s="4" t="s">
        <v>7</v>
      </c>
      <c r="K13" s="5">
        <v>56.3</v>
      </c>
      <c r="L13" s="5">
        <v>146.1</v>
      </c>
      <c r="M13" s="5">
        <v>27.0</v>
      </c>
      <c r="N13" s="5">
        <v>71.6</v>
      </c>
      <c r="O13" s="5"/>
      <c r="P13" s="5"/>
    </row>
    <row r="14">
      <c r="A14" s="4" t="s">
        <v>8</v>
      </c>
      <c r="B14" s="6">
        <v>17.9</v>
      </c>
      <c r="C14" s="6">
        <v>33.5</v>
      </c>
      <c r="D14" s="6">
        <v>4.4</v>
      </c>
      <c r="E14" s="6"/>
      <c r="F14" s="6"/>
      <c r="G14" s="6"/>
      <c r="J14" s="4" t="s">
        <v>8</v>
      </c>
      <c r="K14" s="6">
        <v>117.4</v>
      </c>
      <c r="L14" s="6">
        <v>107.3</v>
      </c>
      <c r="M14" s="6">
        <v>42.1</v>
      </c>
      <c r="N14" s="6"/>
      <c r="O14" s="6"/>
      <c r="P14" s="6"/>
    </row>
    <row r="15">
      <c r="A15" s="4" t="s">
        <v>9</v>
      </c>
      <c r="B15" s="5">
        <v>13.3</v>
      </c>
      <c r="C15" s="5">
        <v>18.7</v>
      </c>
      <c r="D15" s="5">
        <v>17.0</v>
      </c>
      <c r="E15" s="5">
        <v>1.5</v>
      </c>
      <c r="F15" s="5"/>
      <c r="G15" s="8"/>
      <c r="J15" s="4" t="s">
        <v>9</v>
      </c>
      <c r="K15" s="5">
        <v>71.2</v>
      </c>
      <c r="L15" s="5">
        <v>127.2</v>
      </c>
      <c r="M15" s="5">
        <v>108.1</v>
      </c>
      <c r="N15" s="5">
        <v>32.3</v>
      </c>
      <c r="O15" s="5"/>
      <c r="P15" s="8"/>
    </row>
    <row r="16">
      <c r="A16" s="4" t="s">
        <v>10</v>
      </c>
      <c r="B16" s="6">
        <v>12.9</v>
      </c>
      <c r="C16" s="6">
        <v>15.8</v>
      </c>
      <c r="D16" s="6">
        <v>14.0</v>
      </c>
      <c r="E16" s="6">
        <v>1.9</v>
      </c>
      <c r="F16" s="6"/>
      <c r="G16" s="6"/>
      <c r="J16" s="4" t="s">
        <v>10</v>
      </c>
      <c r="K16" s="6">
        <v>80.9</v>
      </c>
      <c r="L16" s="6">
        <v>102.0</v>
      </c>
      <c r="M16" s="6">
        <v>62.1</v>
      </c>
      <c r="N16" s="6">
        <v>74.9</v>
      </c>
      <c r="O16" s="6"/>
      <c r="P16" s="6"/>
    </row>
    <row r="17">
      <c r="A17" s="4" t="s">
        <v>11</v>
      </c>
      <c r="B17" s="5">
        <v>1.1</v>
      </c>
      <c r="C17" s="5">
        <v>17.0</v>
      </c>
      <c r="D17" s="5">
        <v>33.2</v>
      </c>
      <c r="E17" s="5">
        <v>18.1</v>
      </c>
      <c r="F17" s="5">
        <v>0.2</v>
      </c>
      <c r="G17" s="5"/>
      <c r="J17" s="4" t="s">
        <v>11</v>
      </c>
      <c r="K17" s="5">
        <v>74.5</v>
      </c>
      <c r="L17" s="5">
        <v>150.8</v>
      </c>
      <c r="M17" s="5">
        <v>133.5</v>
      </c>
      <c r="N17" s="5">
        <v>48.9</v>
      </c>
      <c r="O17" s="5">
        <v>9.1</v>
      </c>
      <c r="P17" s="5"/>
    </row>
    <row r="18">
      <c r="A18" s="4" t="s">
        <v>12</v>
      </c>
      <c r="B18" s="6">
        <v>17.3</v>
      </c>
      <c r="C18" s="6">
        <v>20.3</v>
      </c>
      <c r="D18" s="6">
        <v>93.0</v>
      </c>
      <c r="E18" s="6"/>
      <c r="F18" s="6">
        <v>0.4</v>
      </c>
      <c r="G18" s="7"/>
      <c r="J18" s="4" t="s">
        <v>12</v>
      </c>
      <c r="K18" s="6">
        <v>57.6</v>
      </c>
      <c r="L18" s="6">
        <v>209.0</v>
      </c>
      <c r="M18" s="6">
        <v>151.0</v>
      </c>
      <c r="N18" s="6"/>
      <c r="O18" s="6">
        <v>13.3</v>
      </c>
      <c r="P18" s="7"/>
    </row>
    <row r="19">
      <c r="A19" s="4" t="s">
        <v>13</v>
      </c>
      <c r="B19" s="5">
        <v>17.5</v>
      </c>
      <c r="C19" s="5">
        <v>23.0</v>
      </c>
      <c r="D19" s="5">
        <v>0.7</v>
      </c>
      <c r="E19" s="5">
        <v>2.9</v>
      </c>
      <c r="F19" s="5">
        <v>5.7</v>
      </c>
      <c r="G19" s="5"/>
      <c r="J19" s="2" t="s">
        <v>13</v>
      </c>
      <c r="K19" s="5">
        <v>81.0</v>
      </c>
      <c r="L19" s="5">
        <v>135.6</v>
      </c>
      <c r="M19" s="5">
        <v>0.7</v>
      </c>
      <c r="N19" s="5">
        <v>43.9</v>
      </c>
      <c r="O19" s="5">
        <v>26.4</v>
      </c>
      <c r="P19" s="5"/>
    </row>
    <row r="22">
      <c r="A22" s="9"/>
      <c r="B22" s="9"/>
      <c r="C22" s="9"/>
      <c r="D22" s="9"/>
      <c r="E22" s="9"/>
      <c r="F22" s="9"/>
      <c r="G22" s="9"/>
      <c r="H22" s="9"/>
      <c r="I22" s="9"/>
      <c r="J22" s="10"/>
      <c r="K22" s="10"/>
      <c r="L22" s="10"/>
      <c r="M22" s="10"/>
      <c r="N22" s="9"/>
      <c r="O22" s="9"/>
    </row>
    <row r="23">
      <c r="A23" s="11" t="s">
        <v>16</v>
      </c>
      <c r="B23" s="12">
        <v>55.65</v>
      </c>
      <c r="C23" s="9"/>
      <c r="D23" s="9"/>
      <c r="E23" s="13"/>
      <c r="F23" s="13"/>
      <c r="G23" s="13"/>
      <c r="H23" s="13"/>
      <c r="J23" s="14" t="s">
        <v>17</v>
      </c>
      <c r="K23" s="14" t="s">
        <v>6</v>
      </c>
      <c r="L23" s="14" t="s">
        <v>14</v>
      </c>
      <c r="M23" s="15" t="s">
        <v>18</v>
      </c>
      <c r="N23" s="13"/>
      <c r="O23" s="13"/>
      <c r="P23" s="9"/>
    </row>
    <row r="24">
      <c r="A24" s="11" t="s">
        <v>19</v>
      </c>
      <c r="B24" s="16">
        <v>56.45</v>
      </c>
      <c r="C24" s="9"/>
      <c r="D24" s="14" t="s">
        <v>20</v>
      </c>
      <c r="E24" s="14" t="s">
        <v>21</v>
      </c>
      <c r="F24" s="14"/>
      <c r="G24" s="14" t="s">
        <v>22</v>
      </c>
      <c r="H24" s="9"/>
      <c r="J24" s="14" t="s">
        <v>7</v>
      </c>
      <c r="K24" s="17">
        <f t="shared" ref="K24:K30" si="1">SUM(K2:P2)</f>
        <v>116.4</v>
      </c>
      <c r="L24" s="17">
        <f t="shared" ref="L24:L30" si="2">SUM(B13:G13)</f>
        <v>38.1</v>
      </c>
      <c r="M24" s="17">
        <f t="shared" ref="M24:M30" si="3">SUM(K13:P13)</f>
        <v>301</v>
      </c>
      <c r="N24" s="13"/>
      <c r="O24" s="9"/>
      <c r="P24" s="9"/>
    </row>
    <row r="25">
      <c r="A25" s="16" t="s">
        <v>23</v>
      </c>
      <c r="B25" s="11">
        <f>B24-B23</f>
        <v>0.8</v>
      </c>
      <c r="C25" s="9"/>
      <c r="D25" s="14" t="s">
        <v>24</v>
      </c>
      <c r="E25" s="18">
        <f>B23*0.8</f>
        <v>44.52</v>
      </c>
      <c r="F25" s="18"/>
      <c r="G25" s="18">
        <f>B23*1</f>
        <v>55.65</v>
      </c>
      <c r="H25" s="13"/>
      <c r="J25" s="14" t="s">
        <v>8</v>
      </c>
      <c r="K25" s="17">
        <f t="shared" si="1"/>
        <v>107.4</v>
      </c>
      <c r="L25" s="17">
        <f t="shared" si="2"/>
        <v>55.8</v>
      </c>
      <c r="M25" s="17">
        <f t="shared" si="3"/>
        <v>266.8</v>
      </c>
      <c r="N25" s="13"/>
      <c r="O25" s="9"/>
      <c r="P25" s="9"/>
    </row>
    <row r="26">
      <c r="A26" s="9"/>
      <c r="B26" s="9"/>
      <c r="C26" s="9"/>
      <c r="D26" s="14" t="s">
        <v>25</v>
      </c>
      <c r="E26" s="19">
        <f>B23*1.8</f>
        <v>100.17</v>
      </c>
      <c r="F26" s="19"/>
      <c r="G26" s="19">
        <f>B23*2.2</f>
        <v>122.43</v>
      </c>
      <c r="H26" s="13"/>
      <c r="J26" s="14" t="s">
        <v>9</v>
      </c>
      <c r="K26" s="17">
        <f t="shared" si="1"/>
        <v>116.8</v>
      </c>
      <c r="L26" s="17">
        <f t="shared" si="2"/>
        <v>50.5</v>
      </c>
      <c r="M26" s="17">
        <f t="shared" si="3"/>
        <v>338.8</v>
      </c>
      <c r="N26" s="13"/>
      <c r="O26" s="9"/>
      <c r="P26" s="9"/>
    </row>
    <row r="27">
      <c r="A27" s="9"/>
      <c r="B27" s="9"/>
      <c r="D27" s="14" t="s">
        <v>26</v>
      </c>
      <c r="E27" s="20" t="s">
        <v>7</v>
      </c>
      <c r="F27" s="20"/>
      <c r="G27" s="18">
        <f>(P33-(G26*4)-(G25*9))/4</f>
        <v>239.545</v>
      </c>
      <c r="H27" s="18">
        <f>(P33-(E26*4)-(E25*9))/4</f>
        <v>286.8475</v>
      </c>
      <c r="J27" s="14" t="s">
        <v>10</v>
      </c>
      <c r="K27" s="17">
        <f t="shared" si="1"/>
        <v>108.2</v>
      </c>
      <c r="L27" s="17">
        <f t="shared" si="2"/>
        <v>44.6</v>
      </c>
      <c r="M27" s="17">
        <f t="shared" si="3"/>
        <v>319.9</v>
      </c>
      <c r="N27" s="13"/>
      <c r="O27" s="9"/>
      <c r="P27" s="9"/>
    </row>
    <row r="28">
      <c r="A28" s="9"/>
      <c r="B28" s="9"/>
      <c r="D28" s="9"/>
      <c r="E28" s="15" t="s">
        <v>8</v>
      </c>
      <c r="F28" s="15"/>
      <c r="G28" s="19">
        <f>(P34-(G26*4)-(G25*9))/4</f>
        <v>240.045</v>
      </c>
      <c r="H28" s="19">
        <f>(P34-(E26*4)-(E25*9))/4</f>
        <v>287.3475</v>
      </c>
      <c r="J28" s="14" t="s">
        <v>11</v>
      </c>
      <c r="K28" s="17">
        <f t="shared" si="1"/>
        <v>136.9</v>
      </c>
      <c r="L28" s="17">
        <f t="shared" si="2"/>
        <v>69.6</v>
      </c>
      <c r="M28" s="33">
        <f t="shared" si="3"/>
        <v>416.8</v>
      </c>
      <c r="N28" s="13"/>
      <c r="O28" s="9"/>
      <c r="P28" s="9"/>
    </row>
    <row r="29">
      <c r="A29" s="9"/>
      <c r="B29" s="9"/>
      <c r="D29" s="9"/>
      <c r="E29" s="20" t="s">
        <v>9</v>
      </c>
      <c r="F29" s="20"/>
      <c r="G29" s="18">
        <f>(P35-(G26*4)-(G25*9))/4</f>
        <v>302.295</v>
      </c>
      <c r="H29" s="18">
        <f>(P35-(E26*4)-(E25*9))/4</f>
        <v>349.5975</v>
      </c>
      <c r="J29" s="14" t="s">
        <v>12</v>
      </c>
      <c r="K29" s="17">
        <f t="shared" si="1"/>
        <v>188.1</v>
      </c>
      <c r="L29" s="17">
        <f t="shared" si="2"/>
        <v>131</v>
      </c>
      <c r="M29" s="17">
        <f t="shared" si="3"/>
        <v>430.9</v>
      </c>
      <c r="N29" s="13"/>
      <c r="O29" s="13"/>
      <c r="P29" s="9"/>
    </row>
    <row r="30">
      <c r="A30" s="9"/>
      <c r="B30" s="9"/>
      <c r="D30" s="9"/>
      <c r="E30" s="15" t="s">
        <v>10</v>
      </c>
      <c r="F30" s="15"/>
      <c r="G30" s="19">
        <f>(P36-(G26*4)-(G25*9))/4</f>
        <v>237.545</v>
      </c>
      <c r="H30" s="19">
        <f>(P36-(E26*4)-(E25*9))/4</f>
        <v>284.8475</v>
      </c>
      <c r="J30" s="14" t="s">
        <v>13</v>
      </c>
      <c r="K30" s="17">
        <f t="shared" si="1"/>
        <v>120.4</v>
      </c>
      <c r="L30" s="17">
        <f t="shared" si="2"/>
        <v>49.8</v>
      </c>
      <c r="M30" s="17">
        <f t="shared" si="3"/>
        <v>287.6</v>
      </c>
      <c r="N30" s="13"/>
      <c r="O30" s="13"/>
      <c r="P30" s="9"/>
    </row>
    <row r="31">
      <c r="A31" s="9"/>
      <c r="B31" s="9"/>
      <c r="D31" s="9"/>
      <c r="E31" s="15" t="s">
        <v>11</v>
      </c>
      <c r="F31" s="15"/>
      <c r="G31" s="18">
        <f>(P37-(G26*4)-(G25*9))/4</f>
        <v>323.045</v>
      </c>
      <c r="H31" s="18">
        <f>(P37-(E26*4)-(E25*9))/4</f>
        <v>370.3475</v>
      </c>
      <c r="J31" s="21"/>
      <c r="K31" s="22"/>
      <c r="L31" s="10"/>
      <c r="M31" s="10"/>
      <c r="N31" s="10"/>
      <c r="O31" s="10"/>
      <c r="P31" s="10"/>
    </row>
    <row r="32">
      <c r="A32" s="9"/>
      <c r="B32" s="9"/>
      <c r="D32" s="9"/>
      <c r="E32" s="20" t="s">
        <v>27</v>
      </c>
      <c r="F32" s="20"/>
      <c r="G32" s="19">
        <f>(P38-(G26*4)-(G25*9))/4</f>
        <v>364.795</v>
      </c>
      <c r="H32" s="19">
        <f>(P38-(E26*4)-(E25*9))/4</f>
        <v>412.0975</v>
      </c>
      <c r="J32" s="14" t="s">
        <v>0</v>
      </c>
      <c r="K32" s="14" t="s">
        <v>28</v>
      </c>
      <c r="L32" s="14" t="s">
        <v>29</v>
      </c>
      <c r="M32" s="23" t="s">
        <v>30</v>
      </c>
      <c r="N32" s="23" t="s">
        <v>31</v>
      </c>
      <c r="O32" s="15" t="s">
        <v>32</v>
      </c>
      <c r="P32" s="15" t="s">
        <v>33</v>
      </c>
    </row>
    <row r="33">
      <c r="A33" s="9"/>
      <c r="B33" s="9"/>
      <c r="D33" s="9"/>
      <c r="E33" s="20" t="s">
        <v>13</v>
      </c>
      <c r="F33" s="20"/>
      <c r="G33" s="18">
        <f>(P39-(G26*4)-(G25*9))/4</f>
        <v>253.545</v>
      </c>
      <c r="H33" s="18">
        <f>(P39-(E26*4)-(E25*9))/4</f>
        <v>300.8475</v>
      </c>
      <c r="J33" s="14" t="s">
        <v>7</v>
      </c>
      <c r="K33" s="24">
        <f t="shared" ref="K33:K39" si="4">SUM(B2:G2)</f>
        <v>2017</v>
      </c>
      <c r="L33" s="25">
        <v>336.0</v>
      </c>
      <c r="M33" s="24">
        <f>E36</f>
        <v>1462.75</v>
      </c>
      <c r="N33" s="26">
        <f t="shared" ref="N33:N39" si="5">SUM(L33:M33)</f>
        <v>1798.75</v>
      </c>
      <c r="O33" s="27">
        <f t="shared" ref="O33:O39" si="6">K33-N33</f>
        <v>218.25</v>
      </c>
      <c r="P33" s="19">
        <f t="shared" ref="P33:P39" si="7">N33+150</f>
        <v>1948.75</v>
      </c>
    </row>
    <row r="34">
      <c r="A34" s="9"/>
      <c r="B34" s="9"/>
      <c r="C34" s="9"/>
      <c r="D34" s="9"/>
      <c r="E34" s="9"/>
      <c r="F34" s="9"/>
      <c r="G34" s="9"/>
      <c r="H34" s="9"/>
      <c r="J34" s="14" t="s">
        <v>8</v>
      </c>
      <c r="K34" s="24">
        <f t="shared" si="4"/>
        <v>2057</v>
      </c>
      <c r="L34" s="28">
        <v>338.0</v>
      </c>
      <c r="M34" s="24">
        <f>E36</f>
        <v>1462.75</v>
      </c>
      <c r="N34" s="26">
        <f t="shared" si="5"/>
        <v>1800.75</v>
      </c>
      <c r="O34" s="27">
        <f t="shared" si="6"/>
        <v>256.25</v>
      </c>
      <c r="P34" s="19">
        <f t="shared" si="7"/>
        <v>1950.75</v>
      </c>
    </row>
    <row r="35">
      <c r="A35" s="9"/>
      <c r="B35" s="9"/>
      <c r="C35" s="9"/>
      <c r="D35" s="9"/>
      <c r="E35" s="9"/>
      <c r="F35" s="9"/>
      <c r="G35" s="9"/>
      <c r="H35" s="9"/>
      <c r="J35" s="14" t="s">
        <v>9</v>
      </c>
      <c r="K35" s="24">
        <f t="shared" si="4"/>
        <v>2290</v>
      </c>
      <c r="L35" s="25">
        <v>587.0</v>
      </c>
      <c r="M35" s="24">
        <f>E36</f>
        <v>1462.75</v>
      </c>
      <c r="N35" s="26">
        <f t="shared" si="5"/>
        <v>2049.75</v>
      </c>
      <c r="O35" s="27">
        <f t="shared" si="6"/>
        <v>240.25</v>
      </c>
      <c r="P35" s="19">
        <f t="shared" si="7"/>
        <v>2199.75</v>
      </c>
    </row>
    <row r="36">
      <c r="A36" s="9"/>
      <c r="B36" s="9"/>
      <c r="C36" s="9"/>
      <c r="D36" s="15" t="s">
        <v>34</v>
      </c>
      <c r="E36" s="19">
        <f>(10*B23)+(6.25*165)-(5*26)+5</f>
        <v>1462.75</v>
      </c>
      <c r="F36" s="19"/>
      <c r="G36" s="9"/>
      <c r="H36" s="9"/>
      <c r="J36" s="14" t="s">
        <v>10</v>
      </c>
      <c r="K36" s="24">
        <f t="shared" si="4"/>
        <v>2088</v>
      </c>
      <c r="L36" s="29">
        <v>328.0</v>
      </c>
      <c r="M36" s="24">
        <f>E36</f>
        <v>1462.75</v>
      </c>
      <c r="N36" s="26">
        <f t="shared" si="5"/>
        <v>1790.75</v>
      </c>
      <c r="O36" s="27">
        <f t="shared" si="6"/>
        <v>297.25</v>
      </c>
      <c r="P36" s="19">
        <f t="shared" si="7"/>
        <v>1940.75</v>
      </c>
    </row>
    <row r="37">
      <c r="A37" s="9"/>
      <c r="B37" s="9"/>
      <c r="C37" s="9"/>
      <c r="D37" s="9"/>
      <c r="E37" s="9"/>
      <c r="F37" s="9"/>
      <c r="G37" s="9"/>
      <c r="H37" s="9"/>
      <c r="J37" s="14" t="s">
        <v>11</v>
      </c>
      <c r="K37" s="24">
        <f t="shared" si="4"/>
        <v>2839</v>
      </c>
      <c r="L37" s="30">
        <v>670.0</v>
      </c>
      <c r="M37" s="24">
        <f>E36</f>
        <v>1462.75</v>
      </c>
      <c r="N37" s="26">
        <f t="shared" si="5"/>
        <v>2132.75</v>
      </c>
      <c r="O37" s="27">
        <f t="shared" si="6"/>
        <v>706.25</v>
      </c>
      <c r="P37" s="19">
        <f t="shared" si="7"/>
        <v>2282.75</v>
      </c>
    </row>
    <row r="38">
      <c r="A38" s="9"/>
      <c r="B38" s="9"/>
      <c r="C38" s="9"/>
      <c r="D38" s="9"/>
      <c r="E38" s="9"/>
      <c r="F38" s="9"/>
      <c r="G38" s="9"/>
      <c r="H38" s="9"/>
      <c r="J38" s="14" t="s">
        <v>12</v>
      </c>
      <c r="K38" s="24">
        <f t="shared" si="4"/>
        <v>3734</v>
      </c>
      <c r="L38" s="29">
        <v>837.0</v>
      </c>
      <c r="M38" s="24">
        <f>E36</f>
        <v>1462.75</v>
      </c>
      <c r="N38" s="26">
        <f t="shared" si="5"/>
        <v>2299.75</v>
      </c>
      <c r="O38" s="27">
        <f t="shared" si="6"/>
        <v>1434.25</v>
      </c>
      <c r="P38" s="19">
        <f t="shared" si="7"/>
        <v>2449.75</v>
      </c>
    </row>
    <row r="39">
      <c r="A39" s="9"/>
      <c r="B39" s="9"/>
      <c r="C39" s="9"/>
      <c r="D39" s="9"/>
      <c r="E39" s="9"/>
      <c r="F39" s="9"/>
      <c r="G39" s="9"/>
      <c r="H39" s="9"/>
      <c r="J39" s="14" t="s">
        <v>13</v>
      </c>
      <c r="K39" s="24">
        <f t="shared" si="4"/>
        <v>2118</v>
      </c>
      <c r="L39" s="30">
        <v>392.0</v>
      </c>
      <c r="M39" s="24">
        <f>E36</f>
        <v>1462.75</v>
      </c>
      <c r="N39" s="24">
        <f t="shared" si="5"/>
        <v>1854.75</v>
      </c>
      <c r="O39" s="27">
        <f t="shared" si="6"/>
        <v>263.25</v>
      </c>
      <c r="P39" s="19">
        <f t="shared" si="7"/>
        <v>2004.75</v>
      </c>
    </row>
    <row r="40">
      <c r="A40" s="9"/>
      <c r="B40" s="9"/>
      <c r="C40" s="9"/>
      <c r="D40" s="9"/>
      <c r="E40" s="9"/>
      <c r="F40" s="9"/>
      <c r="G40" s="9"/>
      <c r="H40" s="9"/>
      <c r="J40" s="15" t="s">
        <v>35</v>
      </c>
      <c r="K40" s="9"/>
      <c r="L40" s="9"/>
      <c r="M40" s="9"/>
      <c r="N40" s="9"/>
      <c r="O40" s="31">
        <f>SUM(O33:O39)</f>
        <v>3415.75</v>
      </c>
      <c r="P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>
      <c r="E42" s="32"/>
      <c r="F42" s="32"/>
      <c r="G42" s="32"/>
    </row>
    <row r="43">
      <c r="E43" s="32"/>
      <c r="F43" s="32"/>
      <c r="G43" s="32"/>
    </row>
  </sheetData>
  <conditionalFormatting sqref="L24:L30">
    <cfRule type="expression" dxfId="4" priority="1">
      <formula>AND(L24&gt;=$E$25,L24&lt;=$G$25)</formula>
    </cfRule>
  </conditionalFormatting>
  <conditionalFormatting sqref="N23:N29">
    <cfRule type="colorScale" priority="2">
      <colorScale>
        <cfvo type="formula" val="200"/>
        <cfvo type="formula" val="300"/>
        <cfvo type="formula" val="400"/>
        <color rgb="FFFF0000"/>
        <color rgb="FF00FF00"/>
        <color rgb="FFFF0000"/>
      </colorScale>
    </cfRule>
  </conditionalFormatting>
  <conditionalFormatting sqref="O33:O39">
    <cfRule type="colorScale" priority="3">
      <colorScale>
        <cfvo type="formula" val="0"/>
        <cfvo type="formula" val="200"/>
        <cfvo type="formula" val="400"/>
        <color rgb="FFFF0000"/>
        <color rgb="FF00FF00"/>
        <color rgb="FFFF0000"/>
      </colorScale>
    </cfRule>
  </conditionalFormatting>
  <conditionalFormatting sqref="K24:K30">
    <cfRule type="expression" dxfId="4" priority="4">
      <formula>AND(K24&gt;=$E$26,K24&lt;=$G$26)</formula>
    </cfRule>
  </conditionalFormatting>
  <conditionalFormatting sqref="B25">
    <cfRule type="colorScale" priority="5">
      <colorScale>
        <cfvo type="formula" val="0"/>
        <cfvo type="formula" val="0.15"/>
        <cfvo type="formula" val="0.4"/>
        <color rgb="FFFF0000"/>
        <color rgb="FF00FF00"/>
        <color rgb="FFFF0000"/>
      </colorScale>
    </cfRule>
  </conditionalFormatting>
  <conditionalFormatting sqref="M25">
    <cfRule type="expression" dxfId="5" priority="6">
      <formula>AND(M25&gt;=$G$28,M25&lt;=$H$28)</formula>
    </cfRule>
  </conditionalFormatting>
  <conditionalFormatting sqref="M26">
    <cfRule type="expression" dxfId="5" priority="7">
      <formula>AND(M26&gt;=$G$29,M26&lt;=$H$29)</formula>
    </cfRule>
  </conditionalFormatting>
  <conditionalFormatting sqref="M27">
    <cfRule type="expression" dxfId="5" priority="8">
      <formula>AND(M27&gt;=$G$30,M27&lt;=$H$30)</formula>
    </cfRule>
  </conditionalFormatting>
  <conditionalFormatting sqref="M28">
    <cfRule type="expression" dxfId="5" priority="9">
      <formula>AND(M28&gt;=$G$31,M28&lt;=$H$31)</formula>
    </cfRule>
  </conditionalFormatting>
  <conditionalFormatting sqref="M29">
    <cfRule type="expression" dxfId="5" priority="10">
      <formula>AND(M29&gt;=$G$32,M29&lt;=$H$32)</formula>
    </cfRule>
  </conditionalFormatting>
  <conditionalFormatting sqref="M30">
    <cfRule type="expression" dxfId="5" priority="11">
      <formula>AND(M30&gt;=$G$33,M30&lt;=$H$33)</formula>
    </cfRule>
  </conditionalFormatting>
  <conditionalFormatting sqref="K24:K30">
    <cfRule type="expression" dxfId="6" priority="12">
      <formula>AND(K24&gt;$B$23*2.2,K24&lt;$B$23*2.5)</formula>
    </cfRule>
  </conditionalFormatting>
  <conditionalFormatting sqref="L24:L30">
    <cfRule type="expression" dxfId="7" priority="13">
      <formula>AND(L24&gt;$B$23*1,L24&lt;$B$23*1.2)</formula>
    </cfRule>
  </conditionalFormatting>
  <conditionalFormatting sqref="M24">
    <cfRule type="expression" dxfId="5" priority="14">
      <formula>AND(M24&gt;=$G$27,M24&lt;=$H$27)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63"/>
  </cols>
  <sheetData>
    <row r="1">
      <c r="A1" s="1" t="s">
        <v>37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36</v>
      </c>
      <c r="G1" s="2" t="s">
        <v>5</v>
      </c>
      <c r="J1" s="1" t="s">
        <v>6</v>
      </c>
      <c r="K1" s="3" t="s">
        <v>1</v>
      </c>
      <c r="L1" s="2" t="s">
        <v>2</v>
      </c>
      <c r="M1" s="2" t="s">
        <v>3</v>
      </c>
      <c r="N1" s="2" t="s">
        <v>4</v>
      </c>
      <c r="O1" s="2" t="s">
        <v>36</v>
      </c>
      <c r="P1" s="2" t="s">
        <v>5</v>
      </c>
    </row>
    <row r="2">
      <c r="A2" s="4" t="s">
        <v>7</v>
      </c>
      <c r="B2" s="5">
        <v>518.0</v>
      </c>
      <c r="C2" s="5">
        <v>942.0</v>
      </c>
      <c r="D2" s="5">
        <v>253.0</v>
      </c>
      <c r="E2" s="5">
        <v>353.0</v>
      </c>
      <c r="F2" s="5">
        <v>100.0</v>
      </c>
      <c r="G2" s="5"/>
      <c r="J2" s="4" t="s">
        <v>7</v>
      </c>
      <c r="K2" s="5">
        <v>25.8</v>
      </c>
      <c r="L2" s="5">
        <v>34.8</v>
      </c>
      <c r="M2" s="5">
        <v>31.6</v>
      </c>
      <c r="N2" s="5">
        <v>9.8</v>
      </c>
      <c r="O2" s="5">
        <v>5.0</v>
      </c>
      <c r="P2" s="5"/>
    </row>
    <row r="3">
      <c r="A3" s="4" t="s">
        <v>8</v>
      </c>
      <c r="B3" s="6">
        <v>335.0</v>
      </c>
      <c r="C3" s="6">
        <v>995.0</v>
      </c>
      <c r="D3" s="6">
        <v>327.0</v>
      </c>
      <c r="E3" s="6">
        <v>502.0</v>
      </c>
      <c r="F3" s="6"/>
      <c r="G3" s="6"/>
      <c r="J3" s="4" t="s">
        <v>8</v>
      </c>
      <c r="K3" s="6">
        <v>7.6</v>
      </c>
      <c r="L3" s="6">
        <v>54.9</v>
      </c>
      <c r="M3" s="6">
        <v>23.0</v>
      </c>
      <c r="N3" s="6">
        <v>22.6</v>
      </c>
      <c r="O3" s="6"/>
      <c r="P3" s="6"/>
    </row>
    <row r="4">
      <c r="A4" s="4" t="s">
        <v>9</v>
      </c>
      <c r="B4" s="5">
        <v>373.0</v>
      </c>
      <c r="C4" s="5">
        <v>828.0</v>
      </c>
      <c r="D4" s="5">
        <v>398.0</v>
      </c>
      <c r="E4" s="5">
        <v>490.0</v>
      </c>
      <c r="F4" s="5"/>
      <c r="G4" s="8"/>
      <c r="J4" s="4" t="s">
        <v>9</v>
      </c>
      <c r="K4" s="5">
        <v>17.4</v>
      </c>
      <c r="L4" s="5">
        <v>58.9</v>
      </c>
      <c r="M4" s="5">
        <v>29.3</v>
      </c>
      <c r="N4" s="5">
        <v>28.7</v>
      </c>
      <c r="O4" s="5"/>
      <c r="P4" s="8"/>
    </row>
    <row r="5">
      <c r="A5" s="4" t="s">
        <v>10</v>
      </c>
      <c r="B5" s="6">
        <v>445.0</v>
      </c>
      <c r="C5" s="6">
        <v>1274.0</v>
      </c>
      <c r="D5" s="6">
        <v>1214.0</v>
      </c>
      <c r="E5" s="6">
        <v>434.0</v>
      </c>
      <c r="F5" s="6"/>
      <c r="G5" s="6"/>
      <c r="J5" s="4" t="s">
        <v>10</v>
      </c>
      <c r="K5" s="6">
        <v>12.6</v>
      </c>
      <c r="L5" s="6">
        <v>54.4</v>
      </c>
      <c r="M5" s="6">
        <v>78.9</v>
      </c>
      <c r="N5" s="6">
        <v>23.1</v>
      </c>
      <c r="O5" s="6"/>
      <c r="P5" s="6"/>
    </row>
    <row r="6">
      <c r="A6" s="4" t="s">
        <v>11</v>
      </c>
      <c r="B6" s="5">
        <v>490.0</v>
      </c>
      <c r="C6" s="5">
        <v>897.0</v>
      </c>
      <c r="D6" s="5">
        <v>664.0</v>
      </c>
      <c r="E6" s="5">
        <v>518.0</v>
      </c>
      <c r="F6" s="5"/>
      <c r="G6" s="5"/>
      <c r="J6" s="4" t="s">
        <v>11</v>
      </c>
      <c r="K6" s="5">
        <v>22.6</v>
      </c>
      <c r="L6" s="5">
        <v>32.0</v>
      </c>
      <c r="M6" s="5">
        <v>61.9</v>
      </c>
      <c r="N6" s="5">
        <v>30.6</v>
      </c>
      <c r="O6" s="5"/>
      <c r="P6" s="5"/>
    </row>
    <row r="7">
      <c r="A7" s="4" t="s">
        <v>12</v>
      </c>
      <c r="B7" s="6"/>
      <c r="C7" s="6"/>
      <c r="D7" s="6"/>
      <c r="E7" s="6"/>
      <c r="F7" s="6"/>
      <c r="G7" s="7"/>
      <c r="J7" s="4" t="s">
        <v>12</v>
      </c>
      <c r="K7" s="6"/>
      <c r="L7" s="6"/>
      <c r="M7" s="6"/>
      <c r="N7" s="6"/>
      <c r="O7" s="6"/>
      <c r="P7" s="7"/>
    </row>
    <row r="8">
      <c r="A8" s="4" t="s">
        <v>13</v>
      </c>
      <c r="B8" s="5"/>
      <c r="C8" s="5"/>
      <c r="D8" s="5"/>
      <c r="E8" s="5"/>
      <c r="F8" s="5"/>
      <c r="G8" s="5"/>
      <c r="J8" s="4" t="s">
        <v>13</v>
      </c>
      <c r="K8" s="5"/>
      <c r="L8" s="5"/>
      <c r="M8" s="5"/>
      <c r="N8" s="5"/>
      <c r="O8" s="5"/>
      <c r="P8" s="5"/>
    </row>
    <row r="12">
      <c r="A12" s="1" t="s">
        <v>14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36</v>
      </c>
      <c r="G12" s="2" t="s">
        <v>5</v>
      </c>
      <c r="J12" s="1" t="s">
        <v>15</v>
      </c>
      <c r="K12" s="2" t="s">
        <v>1</v>
      </c>
      <c r="L12" s="2" t="s">
        <v>2</v>
      </c>
      <c r="M12" s="2" t="s">
        <v>3</v>
      </c>
      <c r="N12" s="2" t="s">
        <v>4</v>
      </c>
      <c r="O12" s="2" t="s">
        <v>36</v>
      </c>
      <c r="P12" s="2" t="s">
        <v>5</v>
      </c>
    </row>
    <row r="13">
      <c r="A13" s="4" t="s">
        <v>7</v>
      </c>
      <c r="B13" s="5">
        <v>19.3</v>
      </c>
      <c r="C13" s="5">
        <v>37.7</v>
      </c>
      <c r="D13" s="5">
        <v>4.5</v>
      </c>
      <c r="E13" s="5">
        <v>1.5</v>
      </c>
      <c r="F13" s="5">
        <v>5.9</v>
      </c>
      <c r="G13" s="5"/>
      <c r="J13" s="4" t="s">
        <v>7</v>
      </c>
      <c r="K13" s="5">
        <v>55.2</v>
      </c>
      <c r="L13" s="5">
        <v>118.2</v>
      </c>
      <c r="M13" s="5">
        <v>22.6</v>
      </c>
      <c r="N13" s="5">
        <v>77.1</v>
      </c>
      <c r="O13" s="5">
        <v>5.5</v>
      </c>
      <c r="P13" s="5"/>
    </row>
    <row r="14">
      <c r="A14" s="4" t="s">
        <v>8</v>
      </c>
      <c r="B14" s="6">
        <v>1.1</v>
      </c>
      <c r="C14" s="6">
        <v>25.2</v>
      </c>
      <c r="D14" s="6">
        <v>17.6</v>
      </c>
      <c r="E14" s="6">
        <v>17.6</v>
      </c>
      <c r="F14" s="6"/>
      <c r="G14" s="6"/>
      <c r="J14" s="4" t="s">
        <v>8</v>
      </c>
      <c r="K14" s="6">
        <v>76.4</v>
      </c>
      <c r="L14" s="6">
        <v>133.1</v>
      </c>
      <c r="M14" s="6">
        <v>19.0</v>
      </c>
      <c r="N14" s="6">
        <v>53.7</v>
      </c>
      <c r="O14" s="6"/>
      <c r="P14" s="6"/>
    </row>
    <row r="15">
      <c r="A15" s="4" t="s">
        <v>9</v>
      </c>
      <c r="B15" s="5">
        <v>9.8</v>
      </c>
      <c r="C15" s="5">
        <v>8.8</v>
      </c>
      <c r="D15" s="5">
        <v>21.0</v>
      </c>
      <c r="E15" s="5">
        <v>7.9</v>
      </c>
      <c r="F15" s="5"/>
      <c r="G15" s="8"/>
      <c r="J15" s="4" t="s">
        <v>9</v>
      </c>
      <c r="K15" s="5">
        <v>53.1</v>
      </c>
      <c r="L15" s="5">
        <v>125.2</v>
      </c>
      <c r="M15" s="5">
        <v>24.7</v>
      </c>
      <c r="N15" s="5">
        <v>69.8</v>
      </c>
      <c r="O15" s="5"/>
      <c r="P15" s="8"/>
    </row>
    <row r="16">
      <c r="A16" s="4" t="s">
        <v>10</v>
      </c>
      <c r="B16" s="6">
        <v>8.9</v>
      </c>
      <c r="C16" s="6">
        <v>38.8</v>
      </c>
      <c r="D16" s="6">
        <v>50.6</v>
      </c>
      <c r="E16" s="6">
        <v>11.9</v>
      </c>
      <c r="F16" s="6"/>
      <c r="G16" s="6"/>
      <c r="J16" s="4" t="s">
        <v>10</v>
      </c>
      <c r="K16" s="6">
        <v>80.9</v>
      </c>
      <c r="L16" s="6">
        <v>175.8</v>
      </c>
      <c r="M16" s="6">
        <v>163.3</v>
      </c>
      <c r="N16" s="6">
        <v>52.1</v>
      </c>
      <c r="O16" s="6"/>
      <c r="P16" s="6"/>
    </row>
    <row r="17">
      <c r="A17" s="4" t="s">
        <v>11</v>
      </c>
      <c r="B17" s="5">
        <v>11.2</v>
      </c>
      <c r="C17" s="5">
        <v>37.0</v>
      </c>
      <c r="D17" s="5">
        <v>32.4</v>
      </c>
      <c r="E17" s="5">
        <v>21.5</v>
      </c>
      <c r="F17" s="5"/>
      <c r="G17" s="5"/>
      <c r="J17" s="4" t="s">
        <v>11</v>
      </c>
      <c r="K17" s="5">
        <v>66.2</v>
      </c>
      <c r="L17" s="5">
        <v>104.0</v>
      </c>
      <c r="M17" s="5">
        <v>41.1</v>
      </c>
      <c r="N17" s="5">
        <v>50.1</v>
      </c>
      <c r="O17" s="5"/>
      <c r="P17" s="5"/>
    </row>
    <row r="18">
      <c r="A18" s="4" t="s">
        <v>12</v>
      </c>
      <c r="B18" s="6"/>
      <c r="C18" s="6"/>
      <c r="D18" s="6"/>
      <c r="E18" s="6"/>
      <c r="F18" s="6"/>
      <c r="G18" s="7"/>
      <c r="J18" s="4" t="s">
        <v>12</v>
      </c>
      <c r="K18" s="6"/>
      <c r="L18" s="6"/>
      <c r="M18" s="6"/>
      <c r="N18" s="6"/>
      <c r="O18" s="6"/>
      <c r="P18" s="7"/>
    </row>
    <row r="19">
      <c r="A19" s="4" t="s">
        <v>13</v>
      </c>
      <c r="B19" s="5"/>
      <c r="C19" s="5"/>
      <c r="D19" s="5"/>
      <c r="E19" s="5"/>
      <c r="F19" s="5"/>
      <c r="G19" s="5"/>
      <c r="J19" s="2" t="s">
        <v>13</v>
      </c>
      <c r="K19" s="5"/>
      <c r="L19" s="5"/>
      <c r="M19" s="5"/>
      <c r="N19" s="5"/>
      <c r="O19" s="5"/>
      <c r="P19" s="5"/>
    </row>
    <row r="22">
      <c r="A22" s="9"/>
      <c r="B22" s="9"/>
      <c r="C22" s="9"/>
      <c r="D22" s="9"/>
      <c r="E22" s="9"/>
      <c r="F22" s="9"/>
      <c r="G22" s="9"/>
      <c r="H22" s="9"/>
      <c r="I22" s="9"/>
      <c r="J22" s="10"/>
      <c r="K22" s="10"/>
      <c r="L22" s="10"/>
      <c r="M22" s="10"/>
      <c r="N22" s="9"/>
      <c r="O22" s="9"/>
    </row>
    <row r="23">
      <c r="A23" s="11" t="s">
        <v>16</v>
      </c>
      <c r="B23" s="12">
        <v>56.45</v>
      </c>
      <c r="C23" s="9"/>
      <c r="D23" s="9"/>
      <c r="E23" s="13"/>
      <c r="F23" s="13"/>
      <c r="G23" s="13"/>
      <c r="H23" s="13"/>
      <c r="J23" s="14" t="s">
        <v>17</v>
      </c>
      <c r="K23" s="14" t="s">
        <v>6</v>
      </c>
      <c r="L23" s="14" t="s">
        <v>14</v>
      </c>
      <c r="M23" s="15" t="s">
        <v>18</v>
      </c>
      <c r="N23" s="13"/>
      <c r="O23" s="13"/>
      <c r="P23" s="9"/>
    </row>
    <row r="24">
      <c r="A24" s="11" t="s">
        <v>19</v>
      </c>
      <c r="B24" s="16"/>
      <c r="C24" s="9"/>
      <c r="D24" s="14" t="s">
        <v>20</v>
      </c>
      <c r="E24" s="14" t="s">
        <v>21</v>
      </c>
      <c r="F24" s="14"/>
      <c r="G24" s="14" t="s">
        <v>22</v>
      </c>
      <c r="H24" s="9"/>
      <c r="J24" s="14" t="s">
        <v>7</v>
      </c>
      <c r="K24" s="17">
        <f t="shared" ref="K24:K30" si="1">SUM(K2:P2)</f>
        <v>107</v>
      </c>
      <c r="L24" s="17">
        <f t="shared" ref="L24:L30" si="2">SUM(B13:G13)</f>
        <v>68.9</v>
      </c>
      <c r="M24" s="17">
        <f t="shared" ref="M24:M30" si="3">SUM(K13:P13)</f>
        <v>278.6</v>
      </c>
      <c r="N24" s="13"/>
      <c r="O24" s="9"/>
      <c r="P24" s="9"/>
    </row>
    <row r="25">
      <c r="A25" s="16" t="s">
        <v>23</v>
      </c>
      <c r="B25" s="11">
        <f>B24-B23</f>
        <v>-56.45</v>
      </c>
      <c r="C25" s="9"/>
      <c r="D25" s="14" t="s">
        <v>24</v>
      </c>
      <c r="E25" s="18">
        <f>B23*0.8</f>
        <v>45.16</v>
      </c>
      <c r="F25" s="18"/>
      <c r="G25" s="18">
        <f>B23*1</f>
        <v>56.45</v>
      </c>
      <c r="H25" s="13"/>
      <c r="J25" s="14" t="s">
        <v>8</v>
      </c>
      <c r="K25" s="17">
        <f t="shared" si="1"/>
        <v>108.1</v>
      </c>
      <c r="L25" s="17">
        <f t="shared" si="2"/>
        <v>61.5</v>
      </c>
      <c r="M25" s="17">
        <f t="shared" si="3"/>
        <v>282.2</v>
      </c>
      <c r="N25" s="13"/>
      <c r="O25" s="9"/>
      <c r="P25" s="9"/>
    </row>
    <row r="26">
      <c r="A26" s="9"/>
      <c r="B26" s="9"/>
      <c r="C26" s="9"/>
      <c r="D26" s="14" t="s">
        <v>25</v>
      </c>
      <c r="E26" s="19">
        <f>B23*1.8</f>
        <v>101.61</v>
      </c>
      <c r="F26" s="19"/>
      <c r="G26" s="19">
        <f>B23*2.2</f>
        <v>124.19</v>
      </c>
      <c r="H26" s="13"/>
      <c r="J26" s="14" t="s">
        <v>9</v>
      </c>
      <c r="K26" s="17">
        <f t="shared" si="1"/>
        <v>134.3</v>
      </c>
      <c r="L26" s="17">
        <f t="shared" si="2"/>
        <v>47.5</v>
      </c>
      <c r="M26" s="17">
        <f t="shared" si="3"/>
        <v>272.8</v>
      </c>
      <c r="N26" s="13"/>
      <c r="O26" s="9"/>
      <c r="P26" s="9"/>
    </row>
    <row r="27">
      <c r="A27" s="9"/>
      <c r="B27" s="9"/>
      <c r="D27" s="14" t="s">
        <v>26</v>
      </c>
      <c r="E27" s="20" t="s">
        <v>7</v>
      </c>
      <c r="F27" s="20"/>
      <c r="G27" s="18">
        <f>(P33-(G26*4)-(G25*9))/4</f>
        <v>249.235</v>
      </c>
      <c r="H27" s="18">
        <f>(P33-(E26*4)-(E25*9))/4</f>
        <v>297.2175</v>
      </c>
      <c r="J27" s="14" t="s">
        <v>10</v>
      </c>
      <c r="K27" s="17">
        <f t="shared" si="1"/>
        <v>169</v>
      </c>
      <c r="L27" s="17">
        <f t="shared" si="2"/>
        <v>110.2</v>
      </c>
      <c r="M27" s="17">
        <f t="shared" si="3"/>
        <v>472.1</v>
      </c>
      <c r="N27" s="13"/>
      <c r="O27" s="9"/>
      <c r="P27" s="9"/>
    </row>
    <row r="28">
      <c r="A28" s="9"/>
      <c r="B28" s="9"/>
      <c r="D28" s="9"/>
      <c r="E28" s="15" t="s">
        <v>8</v>
      </c>
      <c r="F28" s="15"/>
      <c r="G28" s="19">
        <f>(P34-(G26*4)-(G25*9))/4</f>
        <v>259.735</v>
      </c>
      <c r="H28" s="19">
        <f>(P34-(E26*4)-(E25*9))/4</f>
        <v>307.7175</v>
      </c>
      <c r="J28" s="14" t="s">
        <v>11</v>
      </c>
      <c r="K28" s="17">
        <f t="shared" si="1"/>
        <v>147.1</v>
      </c>
      <c r="L28" s="17">
        <f t="shared" si="2"/>
        <v>102.1</v>
      </c>
      <c r="M28" s="33">
        <f t="shared" si="3"/>
        <v>261.4</v>
      </c>
      <c r="N28" s="13"/>
      <c r="O28" s="9"/>
      <c r="P28" s="9"/>
    </row>
    <row r="29">
      <c r="A29" s="9"/>
      <c r="B29" s="9"/>
      <c r="D29" s="9"/>
      <c r="E29" s="20" t="s">
        <v>9</v>
      </c>
      <c r="F29" s="20"/>
      <c r="G29" s="18">
        <f>(P35-(G26*4)-(G25*9))/4</f>
        <v>259.735</v>
      </c>
      <c r="H29" s="18">
        <f>(P35-(E26*4)-(E25*9))/4</f>
        <v>307.7175</v>
      </c>
      <c r="J29" s="14" t="s">
        <v>12</v>
      </c>
      <c r="K29" s="17">
        <f t="shared" si="1"/>
        <v>0</v>
      </c>
      <c r="L29" s="17">
        <f t="shared" si="2"/>
        <v>0</v>
      </c>
      <c r="M29" s="17">
        <f t="shared" si="3"/>
        <v>0</v>
      </c>
      <c r="N29" s="13"/>
      <c r="O29" s="13"/>
      <c r="P29" s="9"/>
    </row>
    <row r="30">
      <c r="A30" s="9"/>
      <c r="B30" s="9"/>
      <c r="D30" s="9"/>
      <c r="E30" s="15" t="s">
        <v>10</v>
      </c>
      <c r="F30" s="15"/>
      <c r="G30" s="19">
        <f>(P36-(G26*4)-(G25*9))/4</f>
        <v>263.235</v>
      </c>
      <c r="H30" s="19">
        <f>(P36-(E26*4)-(E25*9))/4</f>
        <v>311.2175</v>
      </c>
      <c r="J30" s="14" t="s">
        <v>13</v>
      </c>
      <c r="K30" s="17">
        <f t="shared" si="1"/>
        <v>0</v>
      </c>
      <c r="L30" s="17">
        <f t="shared" si="2"/>
        <v>0</v>
      </c>
      <c r="M30" s="17">
        <f t="shared" si="3"/>
        <v>0</v>
      </c>
      <c r="N30" s="13"/>
      <c r="O30" s="13"/>
      <c r="P30" s="9"/>
    </row>
    <row r="31">
      <c r="A31" s="9"/>
      <c r="B31" s="9"/>
      <c r="D31" s="9"/>
      <c r="E31" s="15" t="s">
        <v>11</v>
      </c>
      <c r="F31" s="15"/>
      <c r="G31" s="18">
        <f>(P37-(G26*4)-(G25*9))/4</f>
        <v>266.985</v>
      </c>
      <c r="H31" s="18">
        <f>(P37-(E26*4)-(E25*9))/4</f>
        <v>314.9675</v>
      </c>
      <c r="J31" s="21"/>
      <c r="K31" s="22"/>
      <c r="L31" s="10"/>
      <c r="M31" s="10"/>
      <c r="N31" s="10"/>
      <c r="O31" s="10"/>
      <c r="P31" s="10"/>
    </row>
    <row r="32">
      <c r="A32" s="9"/>
      <c r="B32" s="9"/>
      <c r="D32" s="9"/>
      <c r="E32" s="20" t="s">
        <v>27</v>
      </c>
      <c r="F32" s="20"/>
      <c r="G32" s="19">
        <f>(P38-(G26*4)-(G25*9))/4</f>
        <v>178.985</v>
      </c>
      <c r="H32" s="19">
        <f>(P38-(E26*4)-(E25*9))/4</f>
        <v>226.9675</v>
      </c>
      <c r="J32" s="14" t="s">
        <v>0</v>
      </c>
      <c r="K32" s="14" t="s">
        <v>28</v>
      </c>
      <c r="L32" s="14" t="s">
        <v>29</v>
      </c>
      <c r="M32" s="23" t="s">
        <v>30</v>
      </c>
      <c r="N32" s="23" t="s">
        <v>31</v>
      </c>
      <c r="O32" s="15" t="s">
        <v>32</v>
      </c>
      <c r="P32" s="15" t="s">
        <v>33</v>
      </c>
    </row>
    <row r="33">
      <c r="A33" s="9"/>
      <c r="B33" s="9"/>
      <c r="D33" s="9"/>
      <c r="E33" s="20" t="s">
        <v>13</v>
      </c>
      <c r="F33" s="20"/>
      <c r="G33" s="18">
        <f>(P39-(G26*4)-(G25*9))/4</f>
        <v>178.985</v>
      </c>
      <c r="H33" s="18">
        <f>(P39-(E26*4)-(E25*9))/4</f>
        <v>226.9675</v>
      </c>
      <c r="J33" s="14" t="s">
        <v>7</v>
      </c>
      <c r="K33" s="24">
        <f t="shared" ref="K33:K39" si="4">SUM(B2:G2)</f>
        <v>2166</v>
      </c>
      <c r="L33" s="25">
        <v>281.0</v>
      </c>
      <c r="M33" s="24">
        <f>E36</f>
        <v>1470.75</v>
      </c>
      <c r="N33" s="26">
        <f t="shared" ref="N33:N39" si="5">SUM(L33:M33)</f>
        <v>1751.75</v>
      </c>
      <c r="O33" s="27">
        <f t="shared" ref="O33:O39" si="6">K33-N33</f>
        <v>414.25</v>
      </c>
      <c r="P33" s="19">
        <f t="shared" ref="P33:P39" si="7">N33+250</f>
        <v>2001.75</v>
      </c>
    </row>
    <row r="34">
      <c r="A34" s="9"/>
      <c r="B34" s="9"/>
      <c r="C34" s="9"/>
      <c r="D34" s="9"/>
      <c r="E34" s="9"/>
      <c r="F34" s="9"/>
      <c r="G34" s="9"/>
      <c r="H34" s="9"/>
      <c r="J34" s="14" t="s">
        <v>8</v>
      </c>
      <c r="K34" s="24">
        <f t="shared" si="4"/>
        <v>2159</v>
      </c>
      <c r="L34" s="28">
        <v>323.0</v>
      </c>
      <c r="M34" s="24">
        <f>E36</f>
        <v>1470.75</v>
      </c>
      <c r="N34" s="26">
        <f t="shared" si="5"/>
        <v>1793.75</v>
      </c>
      <c r="O34" s="27">
        <f t="shared" si="6"/>
        <v>365.25</v>
      </c>
      <c r="P34" s="19">
        <f t="shared" si="7"/>
        <v>2043.75</v>
      </c>
    </row>
    <row r="35">
      <c r="A35" s="9"/>
      <c r="B35" s="9"/>
      <c r="C35" s="9"/>
      <c r="D35" s="9"/>
      <c r="E35" s="9"/>
      <c r="F35" s="9"/>
      <c r="G35" s="9"/>
      <c r="H35" s="9"/>
      <c r="J35" s="14" t="s">
        <v>9</v>
      </c>
      <c r="K35" s="24">
        <f t="shared" si="4"/>
        <v>2089</v>
      </c>
      <c r="L35" s="25">
        <v>323.0</v>
      </c>
      <c r="M35" s="24">
        <f>E36</f>
        <v>1470.75</v>
      </c>
      <c r="N35" s="26">
        <f t="shared" si="5"/>
        <v>1793.75</v>
      </c>
      <c r="O35" s="27">
        <f t="shared" si="6"/>
        <v>295.25</v>
      </c>
      <c r="P35" s="19">
        <f t="shared" si="7"/>
        <v>2043.75</v>
      </c>
    </row>
    <row r="36">
      <c r="A36" s="9"/>
      <c r="B36" s="9"/>
      <c r="C36" s="9"/>
      <c r="D36" s="15" t="s">
        <v>34</v>
      </c>
      <c r="E36" s="19">
        <f>(10*B23)+(6.25*165)-(5*26)+5</f>
        <v>1470.75</v>
      </c>
      <c r="F36" s="19"/>
      <c r="G36" s="9"/>
      <c r="H36" s="9"/>
      <c r="J36" s="14" t="s">
        <v>10</v>
      </c>
      <c r="K36" s="24">
        <f t="shared" si="4"/>
        <v>3367</v>
      </c>
      <c r="L36" s="29">
        <v>337.0</v>
      </c>
      <c r="M36" s="24">
        <f>E36</f>
        <v>1470.75</v>
      </c>
      <c r="N36" s="26">
        <f t="shared" si="5"/>
        <v>1807.75</v>
      </c>
      <c r="O36" s="27">
        <f t="shared" si="6"/>
        <v>1559.25</v>
      </c>
      <c r="P36" s="19">
        <f t="shared" si="7"/>
        <v>2057.75</v>
      </c>
    </row>
    <row r="37">
      <c r="A37" s="9"/>
      <c r="B37" s="9"/>
      <c r="C37" s="9"/>
      <c r="D37" s="9"/>
      <c r="E37" s="9"/>
      <c r="F37" s="9"/>
      <c r="G37" s="9"/>
      <c r="H37" s="9"/>
      <c r="J37" s="14" t="s">
        <v>11</v>
      </c>
      <c r="K37" s="24">
        <f t="shared" si="4"/>
        <v>2569</v>
      </c>
      <c r="L37" s="30">
        <v>352.0</v>
      </c>
      <c r="M37" s="24">
        <f>E36</f>
        <v>1470.75</v>
      </c>
      <c r="N37" s="26">
        <f t="shared" si="5"/>
        <v>1822.75</v>
      </c>
      <c r="O37" s="27">
        <f t="shared" si="6"/>
        <v>746.25</v>
      </c>
      <c r="P37" s="19">
        <f t="shared" si="7"/>
        <v>2072.75</v>
      </c>
    </row>
    <row r="38">
      <c r="A38" s="9"/>
      <c r="B38" s="9"/>
      <c r="C38" s="9"/>
      <c r="D38" s="9"/>
      <c r="E38" s="9"/>
      <c r="F38" s="9"/>
      <c r="G38" s="9"/>
      <c r="H38" s="9"/>
      <c r="J38" s="14" t="s">
        <v>12</v>
      </c>
      <c r="K38" s="24">
        <f t="shared" si="4"/>
        <v>0</v>
      </c>
      <c r="L38" s="29"/>
      <c r="M38" s="24">
        <f>E36</f>
        <v>1470.75</v>
      </c>
      <c r="N38" s="26">
        <f t="shared" si="5"/>
        <v>1470.75</v>
      </c>
      <c r="O38" s="27">
        <f t="shared" si="6"/>
        <v>-1470.75</v>
      </c>
      <c r="P38" s="19">
        <f t="shared" si="7"/>
        <v>1720.75</v>
      </c>
    </row>
    <row r="39">
      <c r="A39" s="9"/>
      <c r="B39" s="9"/>
      <c r="C39" s="9"/>
      <c r="D39" s="9"/>
      <c r="E39" s="9"/>
      <c r="F39" s="9"/>
      <c r="G39" s="9"/>
      <c r="H39" s="9"/>
      <c r="J39" s="14" t="s">
        <v>13</v>
      </c>
      <c r="K39" s="24">
        <f t="shared" si="4"/>
        <v>0</v>
      </c>
      <c r="L39" s="30"/>
      <c r="M39" s="24">
        <f>E36</f>
        <v>1470.75</v>
      </c>
      <c r="N39" s="24">
        <f t="shared" si="5"/>
        <v>1470.75</v>
      </c>
      <c r="O39" s="27">
        <f t="shared" si="6"/>
        <v>-1470.75</v>
      </c>
      <c r="P39" s="19">
        <f t="shared" si="7"/>
        <v>1720.75</v>
      </c>
    </row>
    <row r="40">
      <c r="A40" s="9"/>
      <c r="B40" s="9"/>
      <c r="C40" s="9"/>
      <c r="D40" s="9"/>
      <c r="E40" s="9"/>
      <c r="F40" s="9"/>
      <c r="G40" s="9"/>
      <c r="H40" s="9"/>
      <c r="J40" s="15" t="s">
        <v>35</v>
      </c>
      <c r="K40" s="9"/>
      <c r="L40" s="9"/>
      <c r="M40" s="9"/>
      <c r="N40" s="9"/>
      <c r="O40" s="31">
        <f>SUM(O33:O39)</f>
        <v>438.75</v>
      </c>
      <c r="P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>
      <c r="E42" s="32"/>
      <c r="F42" s="32"/>
      <c r="G42" s="32"/>
    </row>
    <row r="43">
      <c r="E43" s="32"/>
      <c r="F43" s="32"/>
      <c r="G43" s="32"/>
    </row>
  </sheetData>
  <conditionalFormatting sqref="L24:L30">
    <cfRule type="expression" dxfId="4" priority="1">
      <formula>AND(L24&gt;=$E$25,L24&lt;=$G$25)</formula>
    </cfRule>
  </conditionalFormatting>
  <conditionalFormatting sqref="N23:N29">
    <cfRule type="colorScale" priority="2">
      <colorScale>
        <cfvo type="formula" val="200"/>
        <cfvo type="formula" val="300"/>
        <cfvo type="formula" val="400"/>
        <color rgb="FFFF0000"/>
        <color rgb="FF00FF00"/>
        <color rgb="FFFF0000"/>
      </colorScale>
    </cfRule>
  </conditionalFormatting>
  <conditionalFormatting sqref="O33:O39">
    <cfRule type="colorScale" priority="3">
      <colorScale>
        <cfvo type="formula" val="100"/>
        <cfvo type="formula" val="300"/>
        <cfvo type="formula" val="500"/>
        <color rgb="FFFF0000"/>
        <color rgb="FF00FF00"/>
        <color rgb="FFFF0000"/>
      </colorScale>
    </cfRule>
  </conditionalFormatting>
  <conditionalFormatting sqref="K24:K30">
    <cfRule type="expression" dxfId="4" priority="4">
      <formula>AND(K24&gt;=$E$26,K24&lt;=$G$26)</formula>
    </cfRule>
  </conditionalFormatting>
  <conditionalFormatting sqref="B25">
    <cfRule type="colorScale" priority="5">
      <colorScale>
        <cfvo type="formula" val="0"/>
        <cfvo type="formula" val="0.15"/>
        <cfvo type="formula" val="0.4"/>
        <color rgb="FFFF0000"/>
        <color rgb="FF00FF00"/>
        <color rgb="FFFF0000"/>
      </colorScale>
    </cfRule>
  </conditionalFormatting>
  <conditionalFormatting sqref="M25">
    <cfRule type="expression" dxfId="5" priority="6">
      <formula>AND(M25&gt;=$G$28,M25&lt;=$H$28)</formula>
    </cfRule>
  </conditionalFormatting>
  <conditionalFormatting sqref="M26">
    <cfRule type="expression" dxfId="5" priority="7">
      <formula>AND(M26&gt;=$G$29,M26&lt;=$H$29)</formula>
    </cfRule>
  </conditionalFormatting>
  <conditionalFormatting sqref="M27">
    <cfRule type="expression" dxfId="5" priority="8">
      <formula>AND(M27&gt;=$G$30,M27&lt;=$H$30)</formula>
    </cfRule>
  </conditionalFormatting>
  <conditionalFormatting sqref="M28">
    <cfRule type="expression" dxfId="5" priority="9">
      <formula>AND(M28&gt;=$G$31,M28&lt;=$H$31)</formula>
    </cfRule>
  </conditionalFormatting>
  <conditionalFormatting sqref="M29">
    <cfRule type="expression" dxfId="5" priority="10">
      <formula>AND(M29&gt;=$G$32,M29&lt;=$H$32)</formula>
    </cfRule>
  </conditionalFormatting>
  <conditionalFormatting sqref="M30">
    <cfRule type="expression" dxfId="5" priority="11">
      <formula>AND(M30&gt;=$G$33,M30&lt;=$H$33)</formula>
    </cfRule>
  </conditionalFormatting>
  <conditionalFormatting sqref="K24:K30">
    <cfRule type="expression" dxfId="6" priority="12">
      <formula>AND(K24&gt;$B$23*2.2,K24&lt;$B$23*2.5)</formula>
    </cfRule>
  </conditionalFormatting>
  <conditionalFormatting sqref="L24:L30">
    <cfRule type="expression" dxfId="7" priority="13">
      <formula>AND(L24&gt;$B$23*1,L24&lt;$B$23*1.2)</formula>
    </cfRule>
  </conditionalFormatting>
  <conditionalFormatting sqref="M24">
    <cfRule type="expression" dxfId="5" priority="14">
      <formula>AND(M24&gt;=$G$27,M24&lt;=$H$27)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63"/>
  </cols>
  <sheetData>
    <row r="1">
      <c r="A1" s="1" t="s">
        <v>38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36</v>
      </c>
      <c r="G1" s="2" t="s">
        <v>5</v>
      </c>
      <c r="J1" s="1" t="s">
        <v>6</v>
      </c>
      <c r="K1" s="3" t="s">
        <v>1</v>
      </c>
      <c r="L1" s="2" t="s">
        <v>2</v>
      </c>
      <c r="M1" s="2" t="s">
        <v>3</v>
      </c>
      <c r="N1" s="2" t="s">
        <v>4</v>
      </c>
      <c r="O1" s="2" t="s">
        <v>36</v>
      </c>
      <c r="P1" s="2" t="s">
        <v>5</v>
      </c>
    </row>
    <row r="2">
      <c r="A2" s="4" t="s">
        <v>7</v>
      </c>
      <c r="B2" s="5"/>
      <c r="C2" s="5"/>
      <c r="D2" s="5"/>
      <c r="E2" s="5"/>
      <c r="F2" s="5"/>
      <c r="G2" s="5"/>
      <c r="J2" s="4" t="s">
        <v>7</v>
      </c>
      <c r="K2" s="5"/>
      <c r="L2" s="5"/>
      <c r="M2" s="5"/>
      <c r="N2" s="5"/>
      <c r="O2" s="5"/>
      <c r="P2" s="5"/>
    </row>
    <row r="3">
      <c r="A3" s="4" t="s">
        <v>8</v>
      </c>
      <c r="B3" s="6"/>
      <c r="C3" s="6"/>
      <c r="D3" s="6"/>
      <c r="E3" s="6"/>
      <c r="F3" s="6"/>
      <c r="G3" s="6"/>
      <c r="J3" s="4" t="s">
        <v>8</v>
      </c>
      <c r="K3" s="6"/>
      <c r="L3" s="6"/>
      <c r="M3" s="6"/>
      <c r="N3" s="6"/>
      <c r="O3" s="6"/>
      <c r="P3" s="6"/>
    </row>
    <row r="4">
      <c r="A4" s="4" t="s">
        <v>9</v>
      </c>
      <c r="B4" s="5"/>
      <c r="C4" s="5"/>
      <c r="D4" s="5"/>
      <c r="E4" s="5"/>
      <c r="F4" s="5"/>
      <c r="G4" s="8"/>
      <c r="J4" s="4" t="s">
        <v>9</v>
      </c>
      <c r="K4" s="5"/>
      <c r="L4" s="5"/>
      <c r="M4" s="5"/>
      <c r="N4" s="5"/>
      <c r="O4" s="5"/>
      <c r="P4" s="8"/>
    </row>
    <row r="5">
      <c r="A5" s="4" t="s">
        <v>10</v>
      </c>
      <c r="B5" s="6"/>
      <c r="C5" s="6"/>
      <c r="D5" s="6"/>
      <c r="E5" s="6"/>
      <c r="F5" s="6"/>
      <c r="G5" s="6"/>
      <c r="J5" s="4" t="s">
        <v>10</v>
      </c>
      <c r="K5" s="6"/>
      <c r="L5" s="6"/>
      <c r="M5" s="6"/>
      <c r="N5" s="6"/>
      <c r="O5" s="6"/>
      <c r="P5" s="6"/>
    </row>
    <row r="6">
      <c r="A6" s="4" t="s">
        <v>11</v>
      </c>
      <c r="B6" s="5"/>
      <c r="C6" s="5"/>
      <c r="D6" s="5"/>
      <c r="E6" s="5"/>
      <c r="F6" s="5"/>
      <c r="G6" s="5"/>
      <c r="J6" s="4" t="s">
        <v>11</v>
      </c>
      <c r="K6" s="5"/>
      <c r="L6" s="5"/>
      <c r="M6" s="5"/>
      <c r="N6" s="5"/>
      <c r="O6" s="5"/>
      <c r="P6" s="5"/>
    </row>
    <row r="7">
      <c r="A7" s="4" t="s">
        <v>12</v>
      </c>
      <c r="B7" s="6"/>
      <c r="C7" s="6"/>
      <c r="D7" s="6"/>
      <c r="E7" s="6"/>
      <c r="F7" s="6"/>
      <c r="G7" s="7"/>
      <c r="J7" s="4" t="s">
        <v>12</v>
      </c>
      <c r="K7" s="6"/>
      <c r="L7" s="6"/>
      <c r="M7" s="6"/>
      <c r="N7" s="6"/>
      <c r="O7" s="6"/>
      <c r="P7" s="7"/>
    </row>
    <row r="8">
      <c r="A8" s="4" t="s">
        <v>13</v>
      </c>
      <c r="B8" s="5"/>
      <c r="C8" s="5"/>
      <c r="D8" s="5"/>
      <c r="E8" s="5"/>
      <c r="F8" s="5"/>
      <c r="G8" s="5"/>
      <c r="J8" s="4" t="s">
        <v>13</v>
      </c>
      <c r="K8" s="5"/>
      <c r="L8" s="5"/>
      <c r="M8" s="5"/>
      <c r="N8" s="5"/>
      <c r="O8" s="5"/>
      <c r="P8" s="5"/>
    </row>
    <row r="12">
      <c r="A12" s="1" t="s">
        <v>14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36</v>
      </c>
      <c r="G12" s="2" t="s">
        <v>5</v>
      </c>
      <c r="J12" s="1" t="s">
        <v>15</v>
      </c>
      <c r="K12" s="2" t="s">
        <v>1</v>
      </c>
      <c r="L12" s="2" t="s">
        <v>2</v>
      </c>
      <c r="M12" s="2" t="s">
        <v>3</v>
      </c>
      <c r="N12" s="2" t="s">
        <v>4</v>
      </c>
      <c r="O12" s="2" t="s">
        <v>36</v>
      </c>
      <c r="P12" s="2" t="s">
        <v>5</v>
      </c>
    </row>
    <row r="13">
      <c r="A13" s="4" t="s">
        <v>7</v>
      </c>
      <c r="B13" s="5"/>
      <c r="C13" s="5"/>
      <c r="D13" s="5"/>
      <c r="E13" s="5"/>
      <c r="F13" s="5"/>
      <c r="G13" s="5"/>
      <c r="J13" s="4" t="s">
        <v>7</v>
      </c>
      <c r="K13" s="5"/>
      <c r="L13" s="5"/>
      <c r="M13" s="5"/>
      <c r="N13" s="5"/>
      <c r="O13" s="5"/>
      <c r="P13" s="5"/>
    </row>
    <row r="14">
      <c r="A14" s="4" t="s">
        <v>8</v>
      </c>
      <c r="B14" s="6"/>
      <c r="C14" s="6"/>
      <c r="D14" s="6"/>
      <c r="E14" s="6"/>
      <c r="F14" s="6"/>
      <c r="G14" s="6"/>
      <c r="J14" s="4" t="s">
        <v>8</v>
      </c>
      <c r="K14" s="6"/>
      <c r="L14" s="6"/>
      <c r="M14" s="6"/>
      <c r="N14" s="6"/>
      <c r="O14" s="6"/>
      <c r="P14" s="6"/>
    </row>
    <row r="15">
      <c r="A15" s="4" t="s">
        <v>9</v>
      </c>
      <c r="B15" s="5"/>
      <c r="C15" s="5"/>
      <c r="D15" s="5"/>
      <c r="E15" s="5"/>
      <c r="F15" s="5"/>
      <c r="G15" s="8"/>
      <c r="J15" s="4" t="s">
        <v>9</v>
      </c>
      <c r="K15" s="5"/>
      <c r="L15" s="5"/>
      <c r="M15" s="5"/>
      <c r="N15" s="5"/>
      <c r="O15" s="5"/>
      <c r="P15" s="8"/>
    </row>
    <row r="16">
      <c r="A16" s="4" t="s">
        <v>10</v>
      </c>
      <c r="B16" s="6"/>
      <c r="C16" s="6"/>
      <c r="D16" s="6"/>
      <c r="E16" s="6"/>
      <c r="F16" s="6"/>
      <c r="G16" s="6"/>
      <c r="J16" s="4" t="s">
        <v>10</v>
      </c>
      <c r="K16" s="6"/>
      <c r="L16" s="6"/>
      <c r="M16" s="6"/>
      <c r="N16" s="6"/>
      <c r="O16" s="6"/>
      <c r="P16" s="6"/>
    </row>
    <row r="17">
      <c r="A17" s="4" t="s">
        <v>11</v>
      </c>
      <c r="B17" s="5"/>
      <c r="C17" s="5"/>
      <c r="D17" s="5"/>
      <c r="E17" s="5"/>
      <c r="F17" s="5"/>
      <c r="G17" s="5"/>
      <c r="J17" s="4" t="s">
        <v>11</v>
      </c>
      <c r="K17" s="5"/>
      <c r="L17" s="5"/>
      <c r="M17" s="5"/>
      <c r="N17" s="5"/>
      <c r="O17" s="5"/>
      <c r="P17" s="5"/>
    </row>
    <row r="18">
      <c r="A18" s="4" t="s">
        <v>12</v>
      </c>
      <c r="B18" s="6"/>
      <c r="C18" s="6"/>
      <c r="D18" s="6"/>
      <c r="E18" s="6"/>
      <c r="F18" s="6"/>
      <c r="G18" s="7"/>
      <c r="J18" s="4" t="s">
        <v>12</v>
      </c>
      <c r="K18" s="6"/>
      <c r="L18" s="6"/>
      <c r="M18" s="6"/>
      <c r="N18" s="6"/>
      <c r="O18" s="6"/>
      <c r="P18" s="7"/>
    </row>
    <row r="19">
      <c r="A19" s="4" t="s">
        <v>13</v>
      </c>
      <c r="B19" s="5"/>
      <c r="C19" s="5"/>
      <c r="D19" s="5"/>
      <c r="E19" s="5"/>
      <c r="F19" s="5"/>
      <c r="G19" s="5"/>
      <c r="J19" s="2" t="s">
        <v>13</v>
      </c>
      <c r="K19" s="5"/>
      <c r="L19" s="5"/>
      <c r="M19" s="5"/>
      <c r="N19" s="5"/>
      <c r="O19" s="5"/>
      <c r="P19" s="5"/>
    </row>
    <row r="22">
      <c r="A22" s="9"/>
      <c r="B22" s="9"/>
      <c r="C22" s="9"/>
      <c r="D22" s="9"/>
      <c r="E22" s="9"/>
      <c r="F22" s="9"/>
      <c r="G22" s="9"/>
      <c r="H22" s="9"/>
      <c r="I22" s="9"/>
      <c r="J22" s="10"/>
      <c r="K22" s="10"/>
      <c r="L22" s="10"/>
      <c r="M22" s="10"/>
      <c r="N22" s="9"/>
      <c r="O22" s="9"/>
    </row>
    <row r="23">
      <c r="A23" s="11" t="s">
        <v>16</v>
      </c>
      <c r="B23" s="12"/>
      <c r="C23" s="9"/>
      <c r="D23" s="9"/>
      <c r="E23" s="13"/>
      <c r="F23" s="13"/>
      <c r="G23" s="13"/>
      <c r="H23" s="13"/>
      <c r="I23" s="34"/>
      <c r="J23" s="14" t="s">
        <v>17</v>
      </c>
      <c r="K23" s="14" t="s">
        <v>6</v>
      </c>
      <c r="L23" s="14" t="s">
        <v>14</v>
      </c>
      <c r="M23" s="15" t="s">
        <v>18</v>
      </c>
      <c r="N23" s="13"/>
      <c r="O23" s="13"/>
      <c r="P23" s="9"/>
    </row>
    <row r="24">
      <c r="A24" s="11" t="s">
        <v>19</v>
      </c>
      <c r="B24" s="16"/>
      <c r="C24" s="9"/>
      <c r="D24" s="14" t="s">
        <v>20</v>
      </c>
      <c r="E24" s="14" t="s">
        <v>21</v>
      </c>
      <c r="F24" s="14"/>
      <c r="G24" s="14" t="s">
        <v>22</v>
      </c>
      <c r="H24" s="9"/>
      <c r="I24" s="34"/>
      <c r="J24" s="14" t="s">
        <v>7</v>
      </c>
      <c r="K24" s="17">
        <f t="shared" ref="K24:K30" si="1">SUM(K2:P2)</f>
        <v>0</v>
      </c>
      <c r="L24" s="17">
        <f t="shared" ref="L24:L30" si="2">SUM(B13:G13)</f>
        <v>0</v>
      </c>
      <c r="M24" s="17">
        <f t="shared" ref="M24:M30" si="3">SUM(K13:P13)</f>
        <v>0</v>
      </c>
      <c r="N24" s="13"/>
      <c r="O24" s="9"/>
      <c r="P24" s="9"/>
    </row>
    <row r="25">
      <c r="A25" s="16" t="s">
        <v>23</v>
      </c>
      <c r="B25" s="11">
        <f>B24-B23</f>
        <v>0</v>
      </c>
      <c r="C25" s="9"/>
      <c r="D25" s="14" t="s">
        <v>24</v>
      </c>
      <c r="E25" s="18">
        <f>B23*0.8</f>
        <v>0</v>
      </c>
      <c r="F25" s="18"/>
      <c r="G25" s="18">
        <f>B23*1</f>
        <v>0</v>
      </c>
      <c r="H25" s="13"/>
      <c r="I25" s="34"/>
      <c r="J25" s="14" t="s">
        <v>8</v>
      </c>
      <c r="K25" s="17">
        <f t="shared" si="1"/>
        <v>0</v>
      </c>
      <c r="L25" s="17">
        <f t="shared" si="2"/>
        <v>0</v>
      </c>
      <c r="M25" s="17">
        <f t="shared" si="3"/>
        <v>0</v>
      </c>
      <c r="N25" s="13"/>
      <c r="O25" s="9"/>
      <c r="P25" s="9"/>
    </row>
    <row r="26">
      <c r="A26" s="9"/>
      <c r="B26" s="9"/>
      <c r="C26" s="9"/>
      <c r="D26" s="14" t="s">
        <v>25</v>
      </c>
      <c r="E26" s="19">
        <f>B23*1.8</f>
        <v>0</v>
      </c>
      <c r="F26" s="19"/>
      <c r="G26" s="19">
        <f>B23*2.2</f>
        <v>0</v>
      </c>
      <c r="H26" s="13"/>
      <c r="I26" s="34"/>
      <c r="J26" s="14" t="s">
        <v>9</v>
      </c>
      <c r="K26" s="17">
        <f t="shared" si="1"/>
        <v>0</v>
      </c>
      <c r="L26" s="17">
        <f t="shared" si="2"/>
        <v>0</v>
      </c>
      <c r="M26" s="17">
        <f t="shared" si="3"/>
        <v>0</v>
      </c>
      <c r="N26" s="13"/>
      <c r="O26" s="9"/>
      <c r="P26" s="9"/>
    </row>
    <row r="27">
      <c r="A27" s="9"/>
      <c r="B27" s="9"/>
      <c r="D27" s="14" t="s">
        <v>26</v>
      </c>
      <c r="E27" s="20" t="s">
        <v>7</v>
      </c>
      <c r="F27" s="20"/>
      <c r="G27" s="18">
        <f>(P33-(G26*4)-(G25*9))/4</f>
        <v>289.0625</v>
      </c>
      <c r="H27" s="18">
        <f>(P33-(E26*4)-(E25*9))/4</f>
        <v>289.0625</v>
      </c>
      <c r="I27" s="34"/>
      <c r="J27" s="14" t="s">
        <v>10</v>
      </c>
      <c r="K27" s="17">
        <f t="shared" si="1"/>
        <v>0</v>
      </c>
      <c r="L27" s="17">
        <f t="shared" si="2"/>
        <v>0</v>
      </c>
      <c r="M27" s="17">
        <f t="shared" si="3"/>
        <v>0</v>
      </c>
      <c r="N27" s="13"/>
      <c r="O27" s="9"/>
      <c r="P27" s="9"/>
    </row>
    <row r="28">
      <c r="A28" s="9"/>
      <c r="B28" s="9"/>
      <c r="D28" s="9"/>
      <c r="E28" s="15" t="s">
        <v>8</v>
      </c>
      <c r="F28" s="15"/>
      <c r="G28" s="19">
        <f>(P34-(G26*4)-(G25*9))/4</f>
        <v>289.0625</v>
      </c>
      <c r="H28" s="19">
        <f>(P34-(E26*4)-(E25*9))/4</f>
        <v>289.0625</v>
      </c>
      <c r="I28" s="34"/>
      <c r="J28" s="14" t="s">
        <v>11</v>
      </c>
      <c r="K28" s="17">
        <f t="shared" si="1"/>
        <v>0</v>
      </c>
      <c r="L28" s="17">
        <f t="shared" si="2"/>
        <v>0</v>
      </c>
      <c r="M28" s="33">
        <f t="shared" si="3"/>
        <v>0</v>
      </c>
      <c r="N28" s="13"/>
      <c r="O28" s="9"/>
      <c r="P28" s="9"/>
    </row>
    <row r="29">
      <c r="A29" s="9"/>
      <c r="B29" s="9"/>
      <c r="D29" s="9"/>
      <c r="E29" s="20" t="s">
        <v>9</v>
      </c>
      <c r="F29" s="20"/>
      <c r="G29" s="18">
        <f>(P35-(G26*4)-(G25*9))/4</f>
        <v>289.0625</v>
      </c>
      <c r="H29" s="18">
        <f>(P35-(E26*4)-(E25*9))/4</f>
        <v>289.0625</v>
      </c>
      <c r="I29" s="34"/>
      <c r="J29" s="14" t="s">
        <v>12</v>
      </c>
      <c r="K29" s="17">
        <f t="shared" si="1"/>
        <v>0</v>
      </c>
      <c r="L29" s="17">
        <f t="shared" si="2"/>
        <v>0</v>
      </c>
      <c r="M29" s="17">
        <f t="shared" si="3"/>
        <v>0</v>
      </c>
      <c r="N29" s="13"/>
      <c r="O29" s="13"/>
      <c r="P29" s="9"/>
    </row>
    <row r="30">
      <c r="A30" s="9"/>
      <c r="B30" s="9"/>
      <c r="D30" s="9"/>
      <c r="E30" s="15" t="s">
        <v>10</v>
      </c>
      <c r="F30" s="15"/>
      <c r="G30" s="19">
        <f>(P36-(G26*4)-(G25*9))/4</f>
        <v>289.0625</v>
      </c>
      <c r="H30" s="19">
        <f>(P36-(E26*4)-(E25*9))/4</f>
        <v>289.0625</v>
      </c>
      <c r="I30" s="34"/>
      <c r="J30" s="14" t="s">
        <v>13</v>
      </c>
      <c r="K30" s="17">
        <f t="shared" si="1"/>
        <v>0</v>
      </c>
      <c r="L30" s="17">
        <f t="shared" si="2"/>
        <v>0</v>
      </c>
      <c r="M30" s="17">
        <f t="shared" si="3"/>
        <v>0</v>
      </c>
      <c r="N30" s="13"/>
      <c r="O30" s="13"/>
      <c r="P30" s="9"/>
    </row>
    <row r="31">
      <c r="A31" s="9"/>
      <c r="B31" s="9"/>
      <c r="D31" s="9"/>
      <c r="E31" s="15" t="s">
        <v>11</v>
      </c>
      <c r="F31" s="15"/>
      <c r="G31" s="18">
        <f>(P37-(G26*4)-(G25*9))/4</f>
        <v>289.0625</v>
      </c>
      <c r="H31" s="18">
        <f>(P37-(E26*4)-(E25*9))/4</f>
        <v>289.0625</v>
      </c>
      <c r="I31" s="34"/>
      <c r="J31" s="21"/>
      <c r="K31" s="22"/>
      <c r="L31" s="10"/>
      <c r="M31" s="10"/>
      <c r="N31" s="10"/>
      <c r="O31" s="10"/>
      <c r="P31" s="10"/>
    </row>
    <row r="32">
      <c r="A32" s="9"/>
      <c r="B32" s="9"/>
      <c r="D32" s="9"/>
      <c r="E32" s="20" t="s">
        <v>27</v>
      </c>
      <c r="F32" s="20"/>
      <c r="G32" s="19">
        <f>(P38-(G26*4)-(G25*9))/4</f>
        <v>289.0625</v>
      </c>
      <c r="H32" s="19">
        <f>(P38-(E26*4)-(E25*9))/4</f>
        <v>289.0625</v>
      </c>
      <c r="J32" s="14" t="s">
        <v>0</v>
      </c>
      <c r="K32" s="14" t="s">
        <v>28</v>
      </c>
      <c r="L32" s="14" t="s">
        <v>29</v>
      </c>
      <c r="M32" s="23" t="s">
        <v>30</v>
      </c>
      <c r="N32" s="23" t="s">
        <v>31</v>
      </c>
      <c r="O32" s="15" t="s">
        <v>32</v>
      </c>
      <c r="P32" s="15" t="s">
        <v>33</v>
      </c>
    </row>
    <row r="33">
      <c r="A33" s="9"/>
      <c r="B33" s="9"/>
      <c r="D33" s="9"/>
      <c r="E33" s="20" t="s">
        <v>13</v>
      </c>
      <c r="F33" s="20"/>
      <c r="G33" s="18">
        <f>(P39-(G26*4)-(G25*9))/4</f>
        <v>289.0625</v>
      </c>
      <c r="H33" s="18">
        <f>(P39-(E26*4)-(E25*9))/4</f>
        <v>289.0625</v>
      </c>
      <c r="J33" s="14" t="s">
        <v>7</v>
      </c>
      <c r="K33" s="24">
        <f t="shared" ref="K33:K39" si="4">SUM(B2:G2)</f>
        <v>0</v>
      </c>
      <c r="L33" s="25"/>
      <c r="M33" s="24">
        <f>E36</f>
        <v>906.25</v>
      </c>
      <c r="N33" s="26">
        <f t="shared" ref="N33:N39" si="5">SUM(L33:M33)</f>
        <v>906.25</v>
      </c>
      <c r="O33" s="27">
        <f t="shared" ref="O33:O39" si="6">K33-N33</f>
        <v>-906.25</v>
      </c>
      <c r="P33" s="19">
        <f t="shared" ref="P33:P39" si="7">N33+250</f>
        <v>1156.25</v>
      </c>
    </row>
    <row r="34">
      <c r="A34" s="9"/>
      <c r="B34" s="9"/>
      <c r="C34" s="9"/>
      <c r="D34" s="9"/>
      <c r="E34" s="9"/>
      <c r="F34" s="9"/>
      <c r="G34" s="9"/>
      <c r="H34" s="9"/>
      <c r="J34" s="14" t="s">
        <v>8</v>
      </c>
      <c r="K34" s="24">
        <f t="shared" si="4"/>
        <v>0</v>
      </c>
      <c r="L34" s="28"/>
      <c r="M34" s="24">
        <f>E36</f>
        <v>906.25</v>
      </c>
      <c r="N34" s="26">
        <f t="shared" si="5"/>
        <v>906.25</v>
      </c>
      <c r="O34" s="27">
        <f t="shared" si="6"/>
        <v>-906.25</v>
      </c>
      <c r="P34" s="19">
        <f t="shared" si="7"/>
        <v>1156.25</v>
      </c>
    </row>
    <row r="35">
      <c r="A35" s="9"/>
      <c r="B35" s="9"/>
      <c r="C35" s="9"/>
      <c r="D35" s="9"/>
      <c r="E35" s="9"/>
      <c r="F35" s="9"/>
      <c r="G35" s="9"/>
      <c r="H35" s="9"/>
      <c r="J35" s="14" t="s">
        <v>9</v>
      </c>
      <c r="K35" s="24">
        <f t="shared" si="4"/>
        <v>0</v>
      </c>
      <c r="L35" s="25"/>
      <c r="M35" s="24">
        <f>E36</f>
        <v>906.25</v>
      </c>
      <c r="N35" s="26">
        <f t="shared" si="5"/>
        <v>906.25</v>
      </c>
      <c r="O35" s="27">
        <f t="shared" si="6"/>
        <v>-906.25</v>
      </c>
      <c r="P35" s="19">
        <f t="shared" si="7"/>
        <v>1156.25</v>
      </c>
    </row>
    <row r="36">
      <c r="A36" s="9"/>
      <c r="B36" s="9"/>
      <c r="C36" s="9"/>
      <c r="D36" s="15" t="s">
        <v>34</v>
      </c>
      <c r="E36" s="19">
        <f>(10*B23)+(6.25*165)-(5*26)+5</f>
        <v>906.25</v>
      </c>
      <c r="F36" s="19"/>
      <c r="G36" s="9"/>
      <c r="H36" s="9"/>
      <c r="J36" s="14" t="s">
        <v>10</v>
      </c>
      <c r="K36" s="24">
        <f t="shared" si="4"/>
        <v>0</v>
      </c>
      <c r="L36" s="29"/>
      <c r="M36" s="24">
        <f>E36</f>
        <v>906.25</v>
      </c>
      <c r="N36" s="26">
        <f t="shared" si="5"/>
        <v>906.25</v>
      </c>
      <c r="O36" s="27">
        <f t="shared" si="6"/>
        <v>-906.25</v>
      </c>
      <c r="P36" s="19">
        <f t="shared" si="7"/>
        <v>1156.25</v>
      </c>
    </row>
    <row r="37">
      <c r="A37" s="9"/>
      <c r="B37" s="9"/>
      <c r="C37" s="9"/>
      <c r="D37" s="9"/>
      <c r="E37" s="9"/>
      <c r="F37" s="9"/>
      <c r="G37" s="9"/>
      <c r="H37" s="9"/>
      <c r="J37" s="14" t="s">
        <v>11</v>
      </c>
      <c r="K37" s="24">
        <f t="shared" si="4"/>
        <v>0</v>
      </c>
      <c r="L37" s="30"/>
      <c r="M37" s="24">
        <f>E36</f>
        <v>906.25</v>
      </c>
      <c r="N37" s="26">
        <f t="shared" si="5"/>
        <v>906.25</v>
      </c>
      <c r="O37" s="27">
        <f t="shared" si="6"/>
        <v>-906.25</v>
      </c>
      <c r="P37" s="19">
        <f t="shared" si="7"/>
        <v>1156.25</v>
      </c>
    </row>
    <row r="38">
      <c r="A38" s="9"/>
      <c r="B38" s="9"/>
      <c r="C38" s="9"/>
      <c r="D38" s="9"/>
      <c r="E38" s="9"/>
      <c r="F38" s="9"/>
      <c r="G38" s="9"/>
      <c r="H38" s="9"/>
      <c r="J38" s="14" t="s">
        <v>12</v>
      </c>
      <c r="K38" s="24">
        <f t="shared" si="4"/>
        <v>0</v>
      </c>
      <c r="L38" s="29"/>
      <c r="M38" s="24">
        <f>E36</f>
        <v>906.25</v>
      </c>
      <c r="N38" s="26">
        <f t="shared" si="5"/>
        <v>906.25</v>
      </c>
      <c r="O38" s="27">
        <f t="shared" si="6"/>
        <v>-906.25</v>
      </c>
      <c r="P38" s="19">
        <f t="shared" si="7"/>
        <v>1156.25</v>
      </c>
    </row>
    <row r="39">
      <c r="A39" s="9"/>
      <c r="B39" s="9"/>
      <c r="C39" s="9"/>
      <c r="D39" s="9"/>
      <c r="E39" s="9"/>
      <c r="F39" s="9"/>
      <c r="G39" s="9"/>
      <c r="H39" s="9"/>
      <c r="J39" s="14" t="s">
        <v>13</v>
      </c>
      <c r="K39" s="24">
        <f t="shared" si="4"/>
        <v>0</v>
      </c>
      <c r="L39" s="30"/>
      <c r="M39" s="24">
        <f>E36</f>
        <v>906.25</v>
      </c>
      <c r="N39" s="24">
        <f t="shared" si="5"/>
        <v>906.25</v>
      </c>
      <c r="O39" s="27">
        <f t="shared" si="6"/>
        <v>-906.25</v>
      </c>
      <c r="P39" s="19">
        <f t="shared" si="7"/>
        <v>1156.25</v>
      </c>
    </row>
    <row r="40">
      <c r="A40" s="9"/>
      <c r="B40" s="9"/>
      <c r="C40" s="9"/>
      <c r="D40" s="9"/>
      <c r="E40" s="9"/>
      <c r="F40" s="9"/>
      <c r="G40" s="9"/>
      <c r="H40" s="9"/>
      <c r="J40" s="15" t="s">
        <v>35</v>
      </c>
      <c r="K40" s="9"/>
      <c r="L40" s="9"/>
      <c r="M40" s="9"/>
      <c r="N40" s="9"/>
      <c r="O40" s="31">
        <f>SUM(O33:O39)</f>
        <v>-6343.75</v>
      </c>
      <c r="P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>
      <c r="E42" s="32"/>
      <c r="F42" s="32"/>
      <c r="G42" s="32"/>
    </row>
    <row r="43">
      <c r="E43" s="32"/>
      <c r="F43" s="32"/>
      <c r="G43" s="32"/>
    </row>
  </sheetData>
  <conditionalFormatting sqref="L24:L30">
    <cfRule type="expression" dxfId="4" priority="1">
      <formula>AND(L24&gt;=$E$25,L24&lt;=$G$25)</formula>
    </cfRule>
  </conditionalFormatting>
  <conditionalFormatting sqref="N23:N29">
    <cfRule type="colorScale" priority="2">
      <colorScale>
        <cfvo type="formula" val="200"/>
        <cfvo type="formula" val="300"/>
        <cfvo type="formula" val="400"/>
        <color rgb="FFFF0000"/>
        <color rgb="FF00FF00"/>
        <color rgb="FFFF0000"/>
      </colorScale>
    </cfRule>
  </conditionalFormatting>
  <conditionalFormatting sqref="O33:O39">
    <cfRule type="colorScale" priority="3">
      <colorScale>
        <cfvo type="formula" val="100"/>
        <cfvo type="formula" val="300"/>
        <cfvo type="formula" val="500"/>
        <color rgb="FFFF0000"/>
        <color rgb="FF00FF00"/>
        <color rgb="FFFF0000"/>
      </colorScale>
    </cfRule>
  </conditionalFormatting>
  <conditionalFormatting sqref="K24:K30">
    <cfRule type="expression" dxfId="4" priority="4">
      <formula>AND(K24&gt;=$E$26,K24&lt;=$G$26)</formula>
    </cfRule>
  </conditionalFormatting>
  <conditionalFormatting sqref="B25">
    <cfRule type="colorScale" priority="5">
      <colorScale>
        <cfvo type="formula" val="0"/>
        <cfvo type="formula" val="0.15"/>
        <cfvo type="formula" val="0.4"/>
        <color rgb="FFFF0000"/>
        <color rgb="FF00FF00"/>
        <color rgb="FFFF0000"/>
      </colorScale>
    </cfRule>
  </conditionalFormatting>
  <conditionalFormatting sqref="M25">
    <cfRule type="expression" dxfId="5" priority="6">
      <formula>AND(M25&gt;=$G$28,M25&lt;=$H$28)</formula>
    </cfRule>
  </conditionalFormatting>
  <conditionalFormatting sqref="M26">
    <cfRule type="expression" dxfId="5" priority="7">
      <formula>AND(M26&gt;=$G$29,M26&lt;=$H$29)</formula>
    </cfRule>
  </conditionalFormatting>
  <conditionalFormatting sqref="M27">
    <cfRule type="expression" dxfId="5" priority="8">
      <formula>AND(M27&gt;=$G$30,M27&lt;=$H$30)</formula>
    </cfRule>
  </conditionalFormatting>
  <conditionalFormatting sqref="M28">
    <cfRule type="expression" dxfId="5" priority="9">
      <formula>AND(M28&gt;=$G$31,M28&lt;=$H$31)</formula>
    </cfRule>
  </conditionalFormatting>
  <conditionalFormatting sqref="M29">
    <cfRule type="expression" dxfId="5" priority="10">
      <formula>AND(M29&gt;=$G$32,M29&lt;=$H$32)</formula>
    </cfRule>
  </conditionalFormatting>
  <conditionalFormatting sqref="M30">
    <cfRule type="expression" dxfId="5" priority="11">
      <formula>AND(M30&gt;=$G$33,M30&lt;=$H$33)</formula>
    </cfRule>
  </conditionalFormatting>
  <conditionalFormatting sqref="K24:K30">
    <cfRule type="expression" dxfId="6" priority="12">
      <formula>AND(K24&gt;$B$23*2.2,K24&lt;$B$23*2.5)</formula>
    </cfRule>
  </conditionalFormatting>
  <conditionalFormatting sqref="L24:L30">
    <cfRule type="expression" dxfId="7" priority="13">
      <formula>AND(L24&gt;$B$23*1,L24&lt;$B$23*1.2)</formula>
    </cfRule>
  </conditionalFormatting>
  <conditionalFormatting sqref="M24">
    <cfRule type="expression" dxfId="5" priority="14">
      <formula>AND(M24&gt;=$G$27,M24&lt;=$H$27)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